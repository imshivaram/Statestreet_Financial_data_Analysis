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sivar\OneDrive\Desktop\Umass Acad\Spring\Project Budgeting\"/>
    </mc:Choice>
  </mc:AlternateContent>
  <xr:revisionPtr revIDLastSave="0" documentId="13_ncr:1_{303BE828-C163-4F86-9261-A63CCD3FAB9E}" xr6:coauthVersionLast="47" xr6:coauthVersionMax="47" xr10:uidLastSave="{00000000-0000-0000-0000-000000000000}"/>
  <bookViews>
    <workbookView xWindow="-108" yWindow="-108" windowWidth="23256" windowHeight="12456" tabRatio="765" xr2:uid="{00000000-000D-0000-FFFF-FFFF00000000}"/>
  </bookViews>
  <sheets>
    <sheet name="Financial ratio data" sheetId="10" r:id="rId1"/>
    <sheet name="Balance Consolidated" sheetId="6" r:id="rId2"/>
    <sheet name="Statement of Income Consolidate" sheetId="2" r:id="rId3"/>
    <sheet name="Cash flow Consolidated" sheetId="5" r:id="rId4"/>
    <sheet name="Shareholders equity Consolidate" sheetId="9" r:id="rId5"/>
  </sheets>
  <definedNames>
    <definedName name="_xlnm._FilterDatabase" localSheetId="3" hidden="1">'Cash flow Consolidated'!$H$17:$K$25</definedName>
    <definedName name="_xlnm._FilterDatabase" localSheetId="2" hidden="1">'Statement of Income Consolidate'!$A$4:$K$41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9" l="1"/>
  <c r="G10" i="2"/>
</calcChain>
</file>

<file path=xl/sharedStrings.xml><?xml version="1.0" encoding="utf-8"?>
<sst xmlns="http://schemas.openxmlformats.org/spreadsheetml/2006/main" count="824" uniqueCount="660">
  <si>
    <t>Financial Data/Years</t>
  </si>
  <si>
    <t>Current Assets</t>
  </si>
  <si>
    <t>Current Liabilities</t>
  </si>
  <si>
    <t>Current Ratio</t>
  </si>
  <si>
    <t>Cash</t>
  </si>
  <si>
    <t>Receivables</t>
  </si>
  <si>
    <t>Total Quick Assets</t>
  </si>
  <si>
    <t>Quick Ratio</t>
  </si>
  <si>
    <t>Total Cash Assets</t>
  </si>
  <si>
    <t>Cash Ratio</t>
  </si>
  <si>
    <t>Short Term Debt</t>
  </si>
  <si>
    <t>Total Debt</t>
  </si>
  <si>
    <t>Total Stockholders' Equity</t>
  </si>
  <si>
    <t>Debt to Equity Ratio</t>
  </si>
  <si>
    <t>Total Assets</t>
  </si>
  <si>
    <t>Debt to Asset Ratio</t>
  </si>
  <si>
    <t>Net Income</t>
  </si>
  <si>
    <t>Days Sales Outstanding</t>
  </si>
  <si>
    <t>ROE</t>
  </si>
  <si>
    <t>ROA</t>
  </si>
  <si>
    <t>Net Revenue</t>
  </si>
  <si>
    <t>Net Profit Margin</t>
  </si>
  <si>
    <t>Return on Investment</t>
  </si>
  <si>
    <t>Inventories</t>
  </si>
  <si>
    <t>Total Liabilities</t>
  </si>
  <si>
    <t>Interest Expense</t>
  </si>
  <si>
    <t>Long Term Liabilities</t>
  </si>
  <si>
    <t>Years Ended December 31,</t>
  </si>
  <si>
    <t>(Dollars in millions, except per share amounts)</t>
  </si>
  <si>
    <t>Servicing fees</t>
  </si>
  <si>
    <r>
      <t>5,016</t>
    </r>
    <r>
      <rPr>
        <sz val="9"/>
        <color rgb="FF000000"/>
        <rFont val="Arial"/>
        <family val="2"/>
      </rPr>
      <t> </t>
    </r>
  </si>
  <si>
    <t>4,922 </t>
  </si>
  <si>
    <t>5,087 </t>
  </si>
  <si>
    <t>Management fees</t>
  </si>
  <si>
    <r>
      <t>2,124</t>
    </r>
    <r>
      <rPr>
        <sz val="9"/>
        <color rgb="FF000000"/>
        <rFont val="Arial"/>
        <family val="2"/>
      </rPr>
      <t> </t>
    </r>
  </si>
  <si>
    <t>1,876 </t>
  </si>
  <si>
    <t>1,939 </t>
  </si>
  <si>
    <t>Foreign exchange trading services</t>
  </si>
  <si>
    <r>
      <t>1,401</t>
    </r>
    <r>
      <rPr>
        <sz val="9"/>
        <color rgb="FF000000"/>
        <rFont val="Arial"/>
        <family val="2"/>
      </rPr>
      <t> </t>
    </r>
  </si>
  <si>
    <t>1,265 </t>
  </si>
  <si>
    <t>1,376 </t>
  </si>
  <si>
    <t>Securities finance</t>
  </si>
  <si>
    <r>
      <t>438</t>
    </r>
    <r>
      <rPr>
        <sz val="9"/>
        <color rgb="FF000000"/>
        <rFont val="Arial"/>
        <family val="2"/>
      </rPr>
      <t> </t>
    </r>
  </si>
  <si>
    <t>426 </t>
  </si>
  <si>
    <t>416 </t>
  </si>
  <si>
    <t>Software and processing fees</t>
  </si>
  <si>
    <r>
      <t>888</t>
    </r>
    <r>
      <rPr>
        <sz val="9"/>
        <color rgb="FF000000"/>
        <rFont val="Arial"/>
        <family val="2"/>
      </rPr>
      <t> </t>
    </r>
  </si>
  <si>
    <t>811 </t>
  </si>
  <si>
    <t>789 </t>
  </si>
  <si>
    <t>Other fee revenue</t>
  </si>
  <si>
    <r>
      <t>289</t>
    </r>
    <r>
      <rPr>
        <sz val="9"/>
        <color rgb="FF000000"/>
        <rFont val="Arial"/>
        <family val="2"/>
      </rPr>
      <t> </t>
    </r>
  </si>
  <si>
    <t>180 </t>
  </si>
  <si>
    <t>Total fee revenue</t>
  </si>
  <si>
    <r>
      <t>10,156</t>
    </r>
    <r>
      <rPr>
        <sz val="9"/>
        <color rgb="FF000000"/>
        <rFont val="Arial"/>
        <family val="2"/>
      </rPr>
      <t> </t>
    </r>
  </si>
  <si>
    <t>9,480 </t>
  </si>
  <si>
    <t>9,606 </t>
  </si>
  <si>
    <t>Net interest income:</t>
  </si>
  <si>
    <t>Interest income</t>
  </si>
  <si>
    <r>
      <t>11,977</t>
    </r>
    <r>
      <rPr>
        <sz val="9"/>
        <color rgb="FF000000"/>
        <rFont val="Arial"/>
        <family val="2"/>
      </rPr>
      <t> </t>
    </r>
  </si>
  <si>
    <t>9,180 </t>
  </si>
  <si>
    <t>4,088 </t>
  </si>
  <si>
    <t>Interest expense</t>
  </si>
  <si>
    <r>
      <t>9,054</t>
    </r>
    <r>
      <rPr>
        <sz val="9"/>
        <color rgb="FF000000"/>
        <rFont val="Arial"/>
        <family val="2"/>
      </rPr>
      <t> </t>
    </r>
  </si>
  <si>
    <t>6,421 </t>
  </si>
  <si>
    <t>1,544 </t>
  </si>
  <si>
    <t>Net interest income</t>
  </si>
  <si>
    <r>
      <t>2,923</t>
    </r>
    <r>
      <rPr>
        <sz val="9"/>
        <color rgb="FF000000"/>
        <rFont val="Arial"/>
        <family val="2"/>
      </rPr>
      <t> </t>
    </r>
  </si>
  <si>
    <t>2,759 </t>
  </si>
  <si>
    <t>2,544 </t>
  </si>
  <si>
    <t>Other income:</t>
  </si>
  <si>
    <t>Gains (losses) from sales of available-for-sale securities, net</t>
  </si>
  <si>
    <t>Total other income</t>
  </si>
  <si>
    <t>Total revenue</t>
  </si>
  <si>
    <r>
      <t>13,000</t>
    </r>
    <r>
      <rPr>
        <sz val="9"/>
        <color rgb="FF000000"/>
        <rFont val="Arial"/>
        <family val="2"/>
      </rPr>
      <t> </t>
    </r>
  </si>
  <si>
    <t>11,945 </t>
  </si>
  <si>
    <t>12,148 </t>
  </si>
  <si>
    <t>Provision for credit losses</t>
  </si>
  <si>
    <r>
      <t>75</t>
    </r>
    <r>
      <rPr>
        <sz val="9"/>
        <color rgb="FF000000"/>
        <rFont val="Arial"/>
        <family val="2"/>
      </rPr>
      <t> </t>
    </r>
  </si>
  <si>
    <t>46 </t>
  </si>
  <si>
    <t>20 </t>
  </si>
  <si>
    <t>Expenses:</t>
  </si>
  <si>
    <t>Compensation and employee benefits</t>
  </si>
  <si>
    <r>
      <t>4,697</t>
    </r>
    <r>
      <rPr>
        <sz val="9"/>
        <color rgb="FF000000"/>
        <rFont val="Arial"/>
        <family val="2"/>
      </rPr>
      <t> </t>
    </r>
  </si>
  <si>
    <t>4,744 </t>
  </si>
  <si>
    <t>4,428 </t>
  </si>
  <si>
    <t>Information systems and communications</t>
  </si>
  <si>
    <r>
      <t>1,829</t>
    </r>
    <r>
      <rPr>
        <sz val="9"/>
        <color rgb="FF000000"/>
        <rFont val="Arial"/>
        <family val="2"/>
      </rPr>
      <t> </t>
    </r>
  </si>
  <si>
    <t>1,703 </t>
  </si>
  <si>
    <t>1,630 </t>
  </si>
  <si>
    <t>Transaction processing services</t>
  </si>
  <si>
    <r>
      <t>998</t>
    </r>
    <r>
      <rPr>
        <sz val="9"/>
        <color rgb="FF000000"/>
        <rFont val="Arial"/>
        <family val="2"/>
      </rPr>
      <t> </t>
    </r>
  </si>
  <si>
    <t>957 </t>
  </si>
  <si>
    <t>971 </t>
  </si>
  <si>
    <t>Occupancy</t>
  </si>
  <si>
    <r>
      <t>437</t>
    </r>
    <r>
      <rPr>
        <sz val="9"/>
        <color rgb="FF000000"/>
        <rFont val="Arial"/>
        <family val="2"/>
      </rPr>
      <t> </t>
    </r>
  </si>
  <si>
    <t>394 </t>
  </si>
  <si>
    <t>Acquisition and restructuring costs</t>
  </si>
  <si>
    <r>
      <t>—</t>
    </r>
    <r>
      <rPr>
        <sz val="9"/>
        <color rgb="FF000000"/>
        <rFont val="Arial"/>
        <family val="2"/>
      </rPr>
      <t> </t>
    </r>
  </si>
  <si>
    <t>65 </t>
  </si>
  <si>
    <t>Amortization of other intangible assets</t>
  </si>
  <si>
    <r>
      <t>230</t>
    </r>
    <r>
      <rPr>
        <sz val="9"/>
        <color rgb="FF000000"/>
        <rFont val="Arial"/>
        <family val="2"/>
      </rPr>
      <t> </t>
    </r>
  </si>
  <si>
    <t>239 </t>
  </si>
  <si>
    <t>238 </t>
  </si>
  <si>
    <t>Other</t>
  </si>
  <si>
    <r>
      <t>1,339</t>
    </r>
    <r>
      <rPr>
        <sz val="9"/>
        <color rgb="FF000000"/>
        <rFont val="Arial"/>
        <family val="2"/>
      </rPr>
      <t> </t>
    </r>
  </si>
  <si>
    <t>1,529 </t>
  </si>
  <si>
    <t>1,075 </t>
  </si>
  <si>
    <t>Total expenses</t>
  </si>
  <si>
    <r>
      <t>9,530</t>
    </r>
    <r>
      <rPr>
        <sz val="9"/>
        <color rgb="FF000000"/>
        <rFont val="Arial"/>
        <family val="2"/>
      </rPr>
      <t> </t>
    </r>
  </si>
  <si>
    <t>9,583 </t>
  </si>
  <si>
    <t>8,801 </t>
  </si>
  <si>
    <t>Income before income tax expense</t>
  </si>
  <si>
    <r>
      <t>3,395</t>
    </r>
    <r>
      <rPr>
        <sz val="9"/>
        <color rgb="FF000000"/>
        <rFont val="Arial"/>
        <family val="2"/>
      </rPr>
      <t> </t>
    </r>
  </si>
  <si>
    <t>2,316 </t>
  </si>
  <si>
    <t>3,327 </t>
  </si>
  <si>
    <t>Income tax expense</t>
  </si>
  <si>
    <r>
      <t>708</t>
    </r>
    <r>
      <rPr>
        <sz val="9"/>
        <color rgb="FF000000"/>
        <rFont val="Arial"/>
        <family val="2"/>
      </rPr>
      <t> </t>
    </r>
  </si>
  <si>
    <t>372 </t>
  </si>
  <si>
    <t>553 </t>
  </si>
  <si>
    <t>Net income</t>
  </si>
  <si>
    <r>
      <t>2,687</t>
    </r>
    <r>
      <rPr>
        <sz val="9"/>
        <color rgb="FF000000"/>
        <rFont val="Arial"/>
        <family val="2"/>
      </rPr>
      <t> </t>
    </r>
  </si>
  <si>
    <t>1,944 </t>
  </si>
  <si>
    <t>2,774 </t>
  </si>
  <si>
    <t>Net income available to common shareholders</t>
  </si>
  <si>
    <r>
      <t>2,483</t>
    </r>
    <r>
      <rPr>
        <sz val="9"/>
        <color rgb="FF000000"/>
        <rFont val="Arial"/>
        <family val="2"/>
      </rPr>
      <t> </t>
    </r>
  </si>
  <si>
    <t>1,821 </t>
  </si>
  <si>
    <t>2,660 </t>
  </si>
  <si>
    <t>Earnings per common share:</t>
  </si>
  <si>
    <t>Basic</t>
  </si>
  <si>
    <r>
      <t>8.33</t>
    </r>
    <r>
      <rPr>
        <sz val="9"/>
        <color rgb="FF000000"/>
        <rFont val="Arial"/>
        <family val="2"/>
      </rPr>
      <t> </t>
    </r>
  </si>
  <si>
    <t>5.65 </t>
  </si>
  <si>
    <t>7.28 </t>
  </si>
  <si>
    <t>Diluted</t>
  </si>
  <si>
    <r>
      <t>8.21</t>
    </r>
    <r>
      <rPr>
        <sz val="9"/>
        <color rgb="FF000000"/>
        <rFont val="Arial"/>
        <family val="2"/>
      </rPr>
      <t> </t>
    </r>
  </si>
  <si>
    <t>5.58 </t>
  </si>
  <si>
    <t>7.19 </t>
  </si>
  <si>
    <t>Average common shares outstanding (in thousands):</t>
  </si>
  <si>
    <r>
      <t>297,883</t>
    </r>
    <r>
      <rPr>
        <sz val="9"/>
        <color rgb="FF000000"/>
        <rFont val="Arial"/>
        <family val="2"/>
      </rPr>
      <t> </t>
    </r>
  </si>
  <si>
    <t>322,337 </t>
  </si>
  <si>
    <t>365,214 </t>
  </si>
  <si>
    <r>
      <t>302,226</t>
    </r>
    <r>
      <rPr>
        <sz val="9"/>
        <color rgb="FF000000"/>
        <rFont val="Arial"/>
        <family val="2"/>
      </rPr>
      <t> </t>
    </r>
  </si>
  <si>
    <t>326,568 </t>
  </si>
  <si>
    <t>370,109 </t>
  </si>
  <si>
    <t>Cash dividends declared per common share</t>
  </si>
  <si>
    <r>
      <t>2.90</t>
    </r>
    <r>
      <rPr>
        <sz val="9"/>
        <color rgb="FF000000"/>
        <rFont val="Arial"/>
        <family val="2"/>
      </rPr>
      <t> </t>
    </r>
  </si>
  <si>
    <t>2.64 </t>
  </si>
  <si>
    <t>2.40 </t>
  </si>
  <si>
    <t>(In millions)</t>
  </si>
  <si>
    <t>Other comprehensive income (loss), net of related taxes:</t>
  </si>
  <si>
    <t>Foreign currency translation, net of related taxes of $153, ($19) and $47, respectively</t>
  </si>
  <si>
    <t>261 </t>
  </si>
  <si>
    <t>Net unrealized gains (losses) on investment securities, net of reclassification adjustment and net of related taxes of $164, $335 and ($650), respectively</t>
  </si>
  <si>
    <r>
      <t>467</t>
    </r>
    <r>
      <rPr>
        <sz val="9"/>
        <color rgb="FF000000"/>
        <rFont val="Arial"/>
        <family val="2"/>
      </rPr>
      <t> </t>
    </r>
  </si>
  <si>
    <t>870 </t>
  </si>
  <si>
    <t>Net unrealized gains (losses) on cash flow hedges, net of related taxes of $0, $85 and ($133), respectively</t>
  </si>
  <si>
    <t>228 </t>
  </si>
  <si>
    <t>Net unrealized gains (losses) on retirement plans, net of related taxes of $6, $0 and ($1), respectively</t>
  </si>
  <si>
    <r>
      <t>16</t>
    </r>
    <r>
      <rPr>
        <sz val="9"/>
        <color rgb="FF000000"/>
        <rFont val="Arial"/>
        <family val="2"/>
      </rPr>
      <t> </t>
    </r>
  </si>
  <si>
    <t>Other comprehensive income (loss)</t>
  </si>
  <si>
    <r>
      <t>254</t>
    </r>
    <r>
      <rPr>
        <sz val="9"/>
        <color rgb="FF000000"/>
        <rFont val="Arial"/>
        <family val="2"/>
      </rPr>
      <t> </t>
    </r>
  </si>
  <si>
    <t>1,357 </t>
  </si>
  <si>
    <t>Total comprehensive income</t>
  </si>
  <si>
    <r>
      <t>2,941</t>
    </r>
    <r>
      <rPr>
        <sz val="9"/>
        <color rgb="FF000000"/>
        <rFont val="Arial"/>
        <family val="2"/>
      </rPr>
      <t> </t>
    </r>
  </si>
  <si>
    <t>3,301 </t>
  </si>
  <si>
    <t>196 </t>
  </si>
  <si>
    <t>5,531 </t>
  </si>
  <si>
    <t>5,157 </t>
  </si>
  <si>
    <t>2,053 </t>
  </si>
  <si>
    <t>1,880 </t>
  </si>
  <si>
    <t>1,211 </t>
  </si>
  <si>
    <t>1,363 </t>
  </si>
  <si>
    <t>356 </t>
  </si>
  <si>
    <t>738 </t>
  </si>
  <si>
    <t>685 </t>
  </si>
  <si>
    <t>63 </t>
  </si>
  <si>
    <t>58 </t>
  </si>
  <si>
    <t>10,012 </t>
  </si>
  <si>
    <t>9,499 </t>
  </si>
  <si>
    <t>1,908 </t>
  </si>
  <si>
    <t>2,575 </t>
  </si>
  <si>
    <t>3 </t>
  </si>
  <si>
    <t>375 </t>
  </si>
  <si>
    <t>1,905 </t>
  </si>
  <si>
    <t>2,200 </t>
  </si>
  <si>
    <t>57 </t>
  </si>
  <si>
    <t>4 </t>
  </si>
  <si>
    <t>Other income</t>
  </si>
  <si>
    <t>53 </t>
  </si>
  <si>
    <t>— </t>
  </si>
  <si>
    <t>110 </t>
  </si>
  <si>
    <t>12,027 </t>
  </si>
  <si>
    <t>11,703 </t>
  </si>
  <si>
    <t>88 </t>
  </si>
  <si>
    <t>4,554 </t>
  </si>
  <si>
    <t>4,450 </t>
  </si>
  <si>
    <t>1,661 </t>
  </si>
  <si>
    <t>1,550 </t>
  </si>
  <si>
    <t>1,024 </t>
  </si>
  <si>
    <t>978 </t>
  </si>
  <si>
    <t>444 </t>
  </si>
  <si>
    <t>489 </t>
  </si>
  <si>
    <t>50 </t>
  </si>
  <si>
    <t>245 </t>
  </si>
  <si>
    <t>234 </t>
  </si>
  <si>
    <t>896 </t>
  </si>
  <si>
    <t>965 </t>
  </si>
  <si>
    <t>8,889 </t>
  </si>
  <si>
    <t>8,716 </t>
  </si>
  <si>
    <t>3,171 </t>
  </si>
  <si>
    <t>2,899 </t>
  </si>
  <si>
    <t>478 </t>
  </si>
  <si>
    <t>479 </t>
  </si>
  <si>
    <t>2,693 </t>
  </si>
  <si>
    <t>2,420 </t>
  </si>
  <si>
    <t>2,572 </t>
  </si>
  <si>
    <t>2,257 </t>
  </si>
  <si>
    <t>7.30 </t>
  </si>
  <si>
    <t>6.40 </t>
  </si>
  <si>
    <t>6.32 </t>
  </si>
  <si>
    <t>352,565 </t>
  </si>
  <si>
    <t>352,865 </t>
  </si>
  <si>
    <t>357,962 </t>
  </si>
  <si>
    <t>357,106 </t>
  </si>
  <si>
    <t>2.18 </t>
  </si>
  <si>
    <t>2.08 </t>
  </si>
  <si>
    <t>127 </t>
  </si>
  <si>
    <t>48 </t>
  </si>
  <si>
    <t>9 </t>
  </si>
  <si>
    <t>5,074 </t>
  </si>
  <si>
    <t>1,824 </t>
  </si>
  <si>
    <t>1,058 </t>
  </si>
  <si>
    <t>471 </t>
  </si>
  <si>
    <t>720 </t>
  </si>
  <si>
    <t>9,147 </t>
  </si>
  <si>
    <t>3,941 </t>
  </si>
  <si>
    <t>1,375 </t>
  </si>
  <si>
    <t>2,566 </t>
  </si>
  <si>
    <t>44 </t>
  </si>
  <si>
    <t>43 </t>
  </si>
  <si>
    <t>11,756 </t>
  </si>
  <si>
    <t>10 </t>
  </si>
  <si>
    <t>4,541 </t>
  </si>
  <si>
    <t>1,465 </t>
  </si>
  <si>
    <t>983 </t>
  </si>
  <si>
    <t>470 </t>
  </si>
  <si>
    <t>77 </t>
  </si>
  <si>
    <t>236 </t>
  </si>
  <si>
    <t>1,262 </t>
  </si>
  <si>
    <t>9,034 </t>
  </si>
  <si>
    <t>2,712 </t>
  </si>
  <si>
    <t>2,242 </t>
  </si>
  <si>
    <t>2,009 </t>
  </si>
  <si>
    <t>5.38 </t>
  </si>
  <si>
    <t>369,911 </t>
  </si>
  <si>
    <t>373,666 </t>
  </si>
  <si>
    <t>1.98 </t>
  </si>
  <si>
    <t>5,421 </t>
  </si>
  <si>
    <t>1,899 </t>
  </si>
  <si>
    <t>1,153 </t>
  </si>
  <si>
    <t>543 </t>
  </si>
  <si>
    <t>438 </t>
  </si>
  <si>
    <t>9,454 </t>
  </si>
  <si>
    <t>3,662 </t>
  </si>
  <si>
    <t>991 </t>
  </si>
  <si>
    <t>2,671 </t>
  </si>
  <si>
    <t>6 </t>
  </si>
  <si>
    <t>12,131 </t>
  </si>
  <si>
    <t>15 </t>
  </si>
  <si>
    <t>4,780 </t>
  </si>
  <si>
    <t>1,324 </t>
  </si>
  <si>
    <t>985 </t>
  </si>
  <si>
    <t>500 </t>
  </si>
  <si>
    <t>24 </t>
  </si>
  <si>
    <t>226 </t>
  </si>
  <si>
    <t>1,176 </t>
  </si>
  <si>
    <t>9,015 </t>
  </si>
  <si>
    <t>3,101 </t>
  </si>
  <si>
    <t>508 </t>
  </si>
  <si>
    <r>
      <t>2,420</t>
    </r>
    <r>
      <rPr>
        <sz val="9"/>
        <color rgb="FF000000"/>
        <rFont val="Arial"/>
        <family val="2"/>
      </rPr>
      <t> </t>
    </r>
  </si>
  <si>
    <t>2,593 </t>
  </si>
  <si>
    <t>2,404 </t>
  </si>
  <si>
    <t>6.46 </t>
  </si>
  <si>
    <t>6.39 </t>
  </si>
  <si>
    <t>371,983 </t>
  </si>
  <si>
    <t>376,476 </t>
  </si>
  <si>
    <t>1.78 </t>
  </si>
  <si>
    <r>
      <t>488</t>
    </r>
    <r>
      <rPr>
        <sz val="9"/>
        <color rgb="FF000000"/>
        <rFont val="Arial"/>
        <family val="2"/>
      </rPr>
      <t> </t>
    </r>
  </si>
  <si>
    <t>1 </t>
  </si>
  <si>
    <r>
      <t>127</t>
    </r>
    <r>
      <rPr>
        <sz val="9"/>
        <color rgb="FF000000"/>
        <rFont val="Arial"/>
        <family val="2"/>
      </rPr>
      <t> </t>
    </r>
  </si>
  <si>
    <t>25 </t>
  </si>
  <si>
    <r>
      <t>9</t>
    </r>
    <r>
      <rPr>
        <sz val="9"/>
        <color rgb="FF000000"/>
        <rFont val="Arial"/>
        <family val="2"/>
      </rPr>
      <t> </t>
    </r>
  </si>
  <si>
    <r>
      <t>1,063</t>
    </r>
    <r>
      <rPr>
        <sz val="9"/>
        <color rgb="FF000000"/>
        <rFont val="Arial"/>
        <family val="2"/>
      </rPr>
      <t> </t>
    </r>
  </si>
  <si>
    <t>564 </t>
  </si>
  <si>
    <r>
      <t>3,483</t>
    </r>
    <r>
      <rPr>
        <sz val="9"/>
        <color rgb="FF000000"/>
        <rFont val="Arial"/>
        <family val="2"/>
      </rPr>
      <t> </t>
    </r>
  </si>
  <si>
    <t>2,806 </t>
  </si>
  <si>
    <t>—</t>
  </si>
  <si>
    <t>Operating Activities:</t>
  </si>
  <si>
    <t>Deferred income tax (benefit)</t>
  </si>
  <si>
    <t>Other non-cash adjustments for depreciation, amortization and accretion, net</t>
  </si>
  <si>
    <t>643 </t>
  </si>
  <si>
    <t>918 </t>
  </si>
  <si>
    <t>Losses related to investment securities, net</t>
  </si>
  <si>
    <t>294 </t>
  </si>
  <si>
    <t>2 </t>
  </si>
  <si>
    <t>Change in trading account assets, net</t>
  </si>
  <si>
    <t>108 </t>
  </si>
  <si>
    <t>Change in accrued interest and fees receivable, net</t>
  </si>
  <si>
    <t>Change in collateral deposits, net</t>
  </si>
  <si>
    <t>7,821 </t>
  </si>
  <si>
    <t>Change in unrealized (gains) losses on foreign exchange derivatives, net</t>
  </si>
  <si>
    <t>2,146 </t>
  </si>
  <si>
    <t>Change in other assets, net</t>
  </si>
  <si>
    <t>421 </t>
  </si>
  <si>
    <t>Change in accrued expenses and other liabilities, net</t>
  </si>
  <si>
    <t>557 </t>
  </si>
  <si>
    <t>Other, net</t>
  </si>
  <si>
    <t>257 </t>
  </si>
  <si>
    <t>Net cash (used in) provided by operating activities</t>
  </si>
  <si>
    <t>690 </t>
  </si>
  <si>
    <t>11,954 </t>
  </si>
  <si>
    <t>Investing Activities:</t>
  </si>
  <si>
    <t>Net (increase) decrease in interest-bearing deposits with banks</t>
  </si>
  <si>
    <t>13,928 </t>
  </si>
  <si>
    <t>4,765 </t>
  </si>
  <si>
    <t>Net decrease (increase) in securities purchased under resale agreements</t>
  </si>
  <si>
    <t>Proceeds from sales of available-for-sale securities</t>
  </si>
  <si>
    <t>4,917 </t>
  </si>
  <si>
    <t>4,590 </t>
  </si>
  <si>
    <t>Proceeds from maturities of available-for-sale securities</t>
  </si>
  <si>
    <t>15,703 </t>
  </si>
  <si>
    <t>17,254 </t>
  </si>
  <si>
    <t>Purchases of available-for-sale securities</t>
  </si>
  <si>
    <t>Proceeds from maturities of held-to-maturity securities</t>
  </si>
  <si>
    <t>9,474 </t>
  </si>
  <si>
    <t>9,817 </t>
  </si>
  <si>
    <t>Purchases of held-to-maturity securities</t>
  </si>
  <si>
    <t>Sale of loans</t>
  </si>
  <si>
    <t>506 </t>
  </si>
  <si>
    <t>1,786 </t>
  </si>
  <si>
    <t>Net increase in loans</t>
  </si>
  <si>
    <t>Business acquisitions, net of cash acquired</t>
  </si>
  <si>
    <t>Purchases of equity investments and other long-term assets</t>
  </si>
  <si>
    <t>Purchases of premises and equipment, net</t>
  </si>
  <si>
    <t>117 </t>
  </si>
  <si>
    <t>51 </t>
  </si>
  <si>
    <t>Net cash (used in) provided by investing activities</t>
  </si>
  <si>
    <t>12,738 </t>
  </si>
  <si>
    <t>6,816 </t>
  </si>
  <si>
    <t>Financing Activities:</t>
  </si>
  <si>
    <t>Cash and due from banks at beginning of period</t>
  </si>
  <si>
    <t>3,970 </t>
  </si>
  <si>
    <t>3,631 </t>
  </si>
  <si>
    <t>Cash and due from banks at end of period</t>
  </si>
  <si>
    <t>4,047 </t>
  </si>
  <si>
    <t>1,276 </t>
  </si>
  <si>
    <t>1,101 </t>
  </si>
  <si>
    <t>99 </t>
  </si>
  <si>
    <t>287 </t>
  </si>
  <si>
    <t>3,652 </t>
  </si>
  <si>
    <t>2,034 </t>
  </si>
  <si>
    <t>361 </t>
  </si>
  <si>
    <t>410 </t>
  </si>
  <si>
    <t>3,532 </t>
  </si>
  <si>
    <t>5,690 </t>
  </si>
  <si>
    <t>4,075 </t>
  </si>
  <si>
    <t>3,192 </t>
  </si>
  <si>
    <t>2,645 </t>
  </si>
  <si>
    <t>5,642 </t>
  </si>
  <si>
    <t>23,644 </t>
  </si>
  <si>
    <t>20,407 </t>
  </si>
  <si>
    <t>Purchases of held-to-maturity securities under the MMLF program</t>
  </si>
  <si>
    <t>Proceeds from maturities of held-to-maturity securities under the MMLF program</t>
  </si>
  <si>
    <t>25,984 </t>
  </si>
  <si>
    <t>15,179 </t>
  </si>
  <si>
    <t>10,390 </t>
  </si>
  <si>
    <t>324 </t>
  </si>
  <si>
    <t>131 </t>
  </si>
  <si>
    <t>Divestitures</t>
  </si>
  <si>
    <t>1,335 </t>
  </si>
  <si>
    <t>3,302 </t>
  </si>
  <si>
    <t>3,212 </t>
  </si>
  <si>
    <t>3,467 </t>
  </si>
  <si>
    <t>Proceeds from sale of joint venture investment</t>
  </si>
  <si>
    <t>-</t>
  </si>
  <si>
    <t>2,687 </t>
  </si>
  <si>
    <t>145 </t>
  </si>
  <si>
    <t>230 </t>
  </si>
  <si>
    <t>1,312 </t>
  </si>
  <si>
    <t>79 </t>
  </si>
  <si>
    <t>75 </t>
  </si>
  <si>
    <t>5 </t>
  </si>
  <si>
    <t>1,672 </t>
  </si>
  <si>
    <t>691 </t>
  </si>
  <si>
    <t>743 </t>
  </si>
  <si>
    <t>303 </t>
  </si>
  <si>
    <t>401 </t>
  </si>
  <si>
    <t>10,602 </t>
  </si>
  <si>
    <t>13 </t>
  </si>
  <si>
    <t>94 </t>
  </si>
  <si>
    <t>10,973 </t>
  </si>
  <si>
    <t>12,822 </t>
  </si>
  <si>
    <t>18,517 </t>
  </si>
  <si>
    <t>23,484 </t>
  </si>
  <si>
    <t>3,299 </t>
  </si>
  <si>
    <t>9,330 </t>
  </si>
  <si>
    <t>15,586 </t>
  </si>
  <si>
    <t>246 </t>
  </si>
  <si>
    <t>172 </t>
  </si>
  <si>
    <t>241 </t>
  </si>
  <si>
    <t>3,145 </t>
  </si>
  <si>
    <t>Assets:</t>
  </si>
  <si>
    <t>Cash and due from banks</t>
  </si>
  <si>
    <r>
      <t>3,145</t>
    </r>
    <r>
      <rPr>
        <sz val="9"/>
        <color rgb="FF000000"/>
        <rFont val="Arial"/>
        <family val="2"/>
      </rPr>
      <t> </t>
    </r>
  </si>
  <si>
    <t>Interest-bearing deposits with banks</t>
  </si>
  <si>
    <r>
      <t>112,957</t>
    </r>
    <r>
      <rPr>
        <sz val="9"/>
        <color rgb="FF000000"/>
        <rFont val="Arial"/>
        <family val="2"/>
      </rPr>
      <t> </t>
    </r>
  </si>
  <si>
    <t>87,665 </t>
  </si>
  <si>
    <t>Securities purchased under resale agreements</t>
  </si>
  <si>
    <r>
      <t>6,679</t>
    </r>
    <r>
      <rPr>
        <sz val="9"/>
        <color rgb="FF000000"/>
        <rFont val="Arial"/>
        <family val="2"/>
      </rPr>
      <t> </t>
    </r>
  </si>
  <si>
    <t>6,692 </t>
  </si>
  <si>
    <t>Trading account assets</t>
  </si>
  <si>
    <r>
      <t>768</t>
    </r>
    <r>
      <rPr>
        <sz val="9"/>
        <color rgb="FF000000"/>
        <rFont val="Arial"/>
        <family val="2"/>
      </rPr>
      <t> </t>
    </r>
  </si>
  <si>
    <t>773 </t>
  </si>
  <si>
    <r>
      <t>58,895</t>
    </r>
    <r>
      <rPr>
        <sz val="9"/>
        <color rgb="FF000000"/>
        <rFont val="Arial"/>
        <family val="2"/>
      </rPr>
      <t> </t>
    </r>
  </si>
  <si>
    <t>44,526 </t>
  </si>
  <si>
    <r>
      <t>47,727</t>
    </r>
    <r>
      <rPr>
        <sz val="9"/>
        <color rgb="FF000000"/>
        <rFont val="Arial"/>
        <family val="2"/>
      </rPr>
      <t> </t>
    </r>
  </si>
  <si>
    <t>57,117 </t>
  </si>
  <si>
    <r>
      <t>43,026</t>
    </r>
    <r>
      <rPr>
        <sz val="9"/>
        <color rgb="FF000000"/>
        <rFont val="Arial"/>
        <family val="2"/>
      </rPr>
      <t> </t>
    </r>
  </si>
  <si>
    <t>36,496 </t>
  </si>
  <si>
    <r>
      <t>2,715</t>
    </r>
    <r>
      <rPr>
        <sz val="9"/>
        <color rgb="FF000000"/>
        <rFont val="Arial"/>
        <family val="2"/>
      </rPr>
      <t> </t>
    </r>
  </si>
  <si>
    <t>2,399 </t>
  </si>
  <si>
    <t>Accrued interest and fees receivable</t>
  </si>
  <si>
    <r>
      <t>4,034</t>
    </r>
    <r>
      <rPr>
        <sz val="9"/>
        <color rgb="FF000000"/>
        <rFont val="Arial"/>
        <family val="2"/>
      </rPr>
      <t> </t>
    </r>
  </si>
  <si>
    <t>3,806 </t>
  </si>
  <si>
    <t>Goodwill</t>
  </si>
  <si>
    <r>
      <t>7,691</t>
    </r>
    <r>
      <rPr>
        <sz val="9"/>
        <color rgb="FF000000"/>
        <rFont val="Arial"/>
        <family val="2"/>
      </rPr>
      <t> </t>
    </r>
  </si>
  <si>
    <t>7,611 </t>
  </si>
  <si>
    <t>Other intangible assets</t>
  </si>
  <si>
    <r>
      <t>1,089</t>
    </r>
    <r>
      <rPr>
        <sz val="9"/>
        <color rgb="FF000000"/>
        <rFont val="Arial"/>
        <family val="2"/>
      </rPr>
      <t> </t>
    </r>
  </si>
  <si>
    <t>1,320 </t>
  </si>
  <si>
    <t>Other assets</t>
  </si>
  <si>
    <r>
      <t>64,514</t>
    </r>
    <r>
      <rPr>
        <sz val="9"/>
        <color rgb="FF000000"/>
        <rFont val="Arial"/>
        <family val="2"/>
      </rPr>
      <t> </t>
    </r>
  </si>
  <si>
    <t>44,806 </t>
  </si>
  <si>
    <t>Total assets</t>
  </si>
  <si>
    <r>
      <t>353,240</t>
    </r>
    <r>
      <rPr>
        <sz val="9"/>
        <color rgb="FF000000"/>
        <rFont val="Arial"/>
        <family val="2"/>
      </rPr>
      <t> </t>
    </r>
  </si>
  <si>
    <t>297,258 </t>
  </si>
  <si>
    <t>Liabilities:</t>
  </si>
  <si>
    <t>Deposits:</t>
  </si>
  <si>
    <t>Non-interest-bearing</t>
  </si>
  <si>
    <r>
      <t>33,180</t>
    </r>
    <r>
      <rPr>
        <sz val="9"/>
        <color rgb="FF000000"/>
        <rFont val="Arial"/>
        <family val="2"/>
      </rPr>
      <t> </t>
    </r>
  </si>
  <si>
    <t>32,569 </t>
  </si>
  <si>
    <t>Interest-bearing - U.S.</t>
  </si>
  <si>
    <r>
      <t>166,483</t>
    </r>
    <r>
      <rPr>
        <sz val="9"/>
        <color rgb="FF000000"/>
        <rFont val="Arial"/>
        <family val="2"/>
      </rPr>
      <t> </t>
    </r>
  </si>
  <si>
    <t>121,738 </t>
  </si>
  <si>
    <t>Interest-bearing - non-U.S.</t>
  </si>
  <si>
    <r>
      <t>62,257</t>
    </r>
    <r>
      <rPr>
        <sz val="9"/>
        <color rgb="FF000000"/>
        <rFont val="Arial"/>
        <family val="2"/>
      </rPr>
      <t> </t>
    </r>
  </si>
  <si>
    <t>66,663 </t>
  </si>
  <si>
    <t>Total deposits</t>
  </si>
  <si>
    <r>
      <t>261,920</t>
    </r>
    <r>
      <rPr>
        <sz val="9"/>
        <color rgb="FF000000"/>
        <rFont val="Arial"/>
        <family val="2"/>
      </rPr>
      <t> </t>
    </r>
  </si>
  <si>
    <t>220,970 </t>
  </si>
  <si>
    <t>Securities sold under repurchase agreements</t>
  </si>
  <si>
    <r>
      <t>3,681</t>
    </r>
    <r>
      <rPr>
        <sz val="9"/>
        <color rgb="FF000000"/>
        <rFont val="Arial"/>
        <family val="2"/>
      </rPr>
      <t> </t>
    </r>
  </si>
  <si>
    <t>1,867 </t>
  </si>
  <si>
    <t>Other short-term borrowings</t>
  </si>
  <si>
    <r>
      <t>9,840</t>
    </r>
    <r>
      <rPr>
        <sz val="9"/>
        <color rgb="FF000000"/>
        <rFont val="Arial"/>
        <family val="2"/>
      </rPr>
      <t> </t>
    </r>
  </si>
  <si>
    <t>3,660 </t>
  </si>
  <si>
    <t>Accrued expenses and other liabilities</t>
  </si>
  <si>
    <r>
      <t>29,201</t>
    </r>
    <r>
      <rPr>
        <sz val="9"/>
        <color rgb="FF000000"/>
        <rFont val="Arial"/>
        <family val="2"/>
      </rPr>
      <t> </t>
    </r>
  </si>
  <si>
    <t>28,123 </t>
  </si>
  <si>
    <t>Long-term debt</t>
  </si>
  <si>
    <r>
      <t>23,272</t>
    </r>
    <r>
      <rPr>
        <sz val="9"/>
        <color rgb="FF000000"/>
        <rFont val="Arial"/>
        <family val="2"/>
      </rPr>
      <t> </t>
    </r>
  </si>
  <si>
    <t>18,839 </t>
  </si>
  <si>
    <t>Total liabilities</t>
  </si>
  <si>
    <r>
      <t>327,914</t>
    </r>
    <r>
      <rPr>
        <sz val="9"/>
        <color rgb="FF000000"/>
        <rFont val="Arial"/>
        <family val="2"/>
      </rPr>
      <t> </t>
    </r>
  </si>
  <si>
    <t>273,459 </t>
  </si>
  <si>
    <t>Shareholders’ equity:</t>
  </si>
  <si>
    <t>Preferred stock, no par, 3,500,000 shares authorized:</t>
  </si>
  <si>
    <t>Series D, 7,500 shares issued and outstanding</t>
  </si>
  <si>
    <t>742 </t>
  </si>
  <si>
    <t>Series F, 2,500 shares issued and outstanding</t>
  </si>
  <si>
    <t>247 </t>
  </si>
  <si>
    <t>Series G, 5,000 shares issued and outstanding</t>
  </si>
  <si>
    <r>
      <t>493</t>
    </r>
    <r>
      <rPr>
        <sz val="9"/>
        <color rgb="FF000000"/>
        <rFont val="Arial"/>
        <family val="2"/>
      </rPr>
      <t> </t>
    </r>
  </si>
  <si>
    <t>493 </t>
  </si>
  <si>
    <t>Series H, 5,000 shares issued and outstanding</t>
  </si>
  <si>
    <t>494 </t>
  </si>
  <si>
    <t>Series I, 15,000 shares issued and outstanding</t>
  </si>
  <si>
    <r>
      <t>1,481</t>
    </r>
    <r>
      <rPr>
        <sz val="9"/>
        <color rgb="FF000000"/>
        <rFont val="Arial"/>
        <family val="2"/>
      </rPr>
      <t> </t>
    </r>
  </si>
  <si>
    <t>Series J, 8,500 shares issued and outstanding</t>
  </si>
  <si>
    <r>
      <t>842</t>
    </r>
    <r>
      <rPr>
        <sz val="9"/>
        <color rgb="FF000000"/>
        <rFont val="Arial"/>
        <family val="2"/>
      </rPr>
      <t> </t>
    </r>
  </si>
  <si>
    <r>
      <t>503,879,642 and 503,879,642 shares issued, and 288,766,452 and 301,944,043</t>
    </r>
    <r>
      <rPr>
        <sz val="9"/>
        <color rgb="FFFF0000"/>
        <rFont val="Arial"/>
        <family val="2"/>
      </rPr>
      <t> </t>
    </r>
    <r>
      <rPr>
        <sz val="9"/>
        <color rgb="FF000000"/>
        <rFont val="Arial"/>
        <family val="2"/>
      </rPr>
      <t>shares outstanding</t>
    </r>
  </si>
  <si>
    <r>
      <t>504</t>
    </r>
    <r>
      <rPr>
        <sz val="9"/>
        <color rgb="FF000000"/>
        <rFont val="Arial"/>
        <family val="2"/>
      </rPr>
      <t> </t>
    </r>
  </si>
  <si>
    <t>504 </t>
  </si>
  <si>
    <t>Surplus</t>
  </si>
  <si>
    <r>
      <t>10,722</t>
    </r>
    <r>
      <rPr>
        <sz val="9"/>
        <color rgb="FF000000"/>
        <rFont val="Arial"/>
        <family val="2"/>
      </rPr>
      <t> </t>
    </r>
  </si>
  <si>
    <t>10,741 </t>
  </si>
  <si>
    <t>Retained earnings</t>
  </si>
  <si>
    <r>
      <t>29,582</t>
    </r>
    <r>
      <rPr>
        <sz val="9"/>
        <color rgb="FF000000"/>
        <rFont val="Arial"/>
        <family val="2"/>
      </rPr>
      <t> </t>
    </r>
  </si>
  <si>
    <t>27,957 </t>
  </si>
  <si>
    <t>Accumulated other comprehensive income (loss)</t>
  </si>
  <si>
    <t>Total shareholders’ equity</t>
  </si>
  <si>
    <r>
      <t>25,326</t>
    </r>
    <r>
      <rPr>
        <sz val="9"/>
        <color rgb="FF000000"/>
        <rFont val="Arial"/>
        <family val="2"/>
      </rPr>
      <t> </t>
    </r>
  </si>
  <si>
    <t>23,799 </t>
  </si>
  <si>
    <t>Total liabilities and shareholders’ equity</t>
  </si>
  <si>
    <r>
      <t>3,970</t>
    </r>
    <r>
      <rPr>
        <sz val="9"/>
        <color rgb="FF000000"/>
        <rFont val="Arial"/>
        <family val="2"/>
      </rPr>
      <t> </t>
    </r>
  </si>
  <si>
    <r>
      <t>101,593</t>
    </r>
    <r>
      <rPr>
        <sz val="9"/>
        <color rgb="FF000000"/>
        <rFont val="Arial"/>
        <family val="2"/>
      </rPr>
      <t> </t>
    </r>
  </si>
  <si>
    <t>106,358 </t>
  </si>
  <si>
    <r>
      <t>5,215</t>
    </r>
    <r>
      <rPr>
        <sz val="9"/>
        <color rgb="FF000000"/>
        <rFont val="Arial"/>
        <family val="2"/>
      </rPr>
      <t> </t>
    </r>
  </si>
  <si>
    <t>3,012 </t>
  </si>
  <si>
    <r>
      <t>650</t>
    </r>
    <r>
      <rPr>
        <sz val="9"/>
        <color rgb="FF000000"/>
        <rFont val="Arial"/>
        <family val="2"/>
      </rPr>
      <t> </t>
    </r>
  </si>
  <si>
    <t>758 </t>
  </si>
  <si>
    <r>
      <t>40,579</t>
    </r>
    <r>
      <rPr>
        <sz val="9"/>
        <color rgb="FF000000"/>
        <rFont val="Arial"/>
        <family val="2"/>
      </rPr>
      <t> </t>
    </r>
  </si>
  <si>
    <t>73,399 </t>
  </si>
  <si>
    <r>
      <t>64,700</t>
    </r>
    <r>
      <rPr>
        <sz val="9"/>
        <color rgb="FF000000"/>
        <rFont val="Arial"/>
        <family val="2"/>
      </rPr>
      <t> </t>
    </r>
  </si>
  <si>
    <t>42,430 </t>
  </si>
  <si>
    <r>
      <t>32,053</t>
    </r>
    <r>
      <rPr>
        <sz val="9"/>
        <color rgb="FF000000"/>
        <rFont val="Arial"/>
        <family val="2"/>
      </rPr>
      <t> </t>
    </r>
  </si>
  <si>
    <t>32,445 </t>
  </si>
  <si>
    <r>
      <t>2,315</t>
    </r>
    <r>
      <rPr>
        <sz val="9"/>
        <color rgb="FF000000"/>
        <rFont val="Arial"/>
        <family val="2"/>
      </rPr>
      <t> </t>
    </r>
  </si>
  <si>
    <t>2,261 </t>
  </si>
  <si>
    <r>
      <t>3,434</t>
    </r>
    <r>
      <rPr>
        <sz val="9"/>
        <color rgb="FF000000"/>
        <rFont val="Arial"/>
        <family val="2"/>
      </rPr>
      <t> </t>
    </r>
  </si>
  <si>
    <t>3,278 </t>
  </si>
  <si>
    <r>
      <t>7,495</t>
    </r>
    <r>
      <rPr>
        <sz val="9"/>
        <color rgb="FF000000"/>
        <rFont val="Arial"/>
        <family val="2"/>
      </rPr>
      <t> </t>
    </r>
  </si>
  <si>
    <t>7,621 </t>
  </si>
  <si>
    <r>
      <t>1,544</t>
    </r>
    <r>
      <rPr>
        <sz val="9"/>
        <color rgb="FF000000"/>
        <rFont val="Arial"/>
        <family val="2"/>
      </rPr>
      <t> </t>
    </r>
  </si>
  <si>
    <t>1,816 </t>
  </si>
  <si>
    <r>
      <t>37,902</t>
    </r>
    <r>
      <rPr>
        <sz val="9"/>
        <color rgb="FF000000"/>
        <rFont val="Arial"/>
        <family val="2"/>
      </rPr>
      <t> </t>
    </r>
  </si>
  <si>
    <t>37,615 </t>
  </si>
  <si>
    <r>
      <t>301,450</t>
    </r>
    <r>
      <rPr>
        <sz val="9"/>
        <color rgb="FF000000"/>
        <rFont val="Arial"/>
        <family val="2"/>
      </rPr>
      <t> </t>
    </r>
  </si>
  <si>
    <r>
      <t>46,755</t>
    </r>
    <r>
      <rPr>
        <sz val="9"/>
        <color rgb="FF000000"/>
        <rFont val="Arial"/>
        <family val="2"/>
      </rPr>
      <t> </t>
    </r>
  </si>
  <si>
    <r>
      <t>111,384</t>
    </r>
    <r>
      <rPr>
        <sz val="9"/>
        <color rgb="FF000000"/>
        <rFont val="Arial"/>
        <family val="2"/>
      </rPr>
      <t> </t>
    </r>
  </si>
  <si>
    <t>102,985 </t>
  </si>
  <si>
    <r>
      <t>77,325</t>
    </r>
    <r>
      <rPr>
        <sz val="9"/>
        <color rgb="FF000000"/>
        <rFont val="Arial"/>
        <family val="2"/>
      </rPr>
      <t> </t>
    </r>
  </si>
  <si>
    <t>95,589 </t>
  </si>
  <si>
    <r>
      <t>235,464</t>
    </r>
    <r>
      <rPr>
        <sz val="9"/>
        <color rgb="FF000000"/>
        <rFont val="Arial"/>
        <family val="2"/>
      </rPr>
      <t> </t>
    </r>
  </si>
  <si>
    <t>255,035 </t>
  </si>
  <si>
    <r>
      <t>1,177</t>
    </r>
    <r>
      <rPr>
        <sz val="9"/>
        <color rgb="FF000000"/>
        <rFont val="Arial"/>
        <family val="2"/>
      </rPr>
      <t> </t>
    </r>
  </si>
  <si>
    <t>1,575 </t>
  </si>
  <si>
    <r>
      <t>2,097</t>
    </r>
    <r>
      <rPr>
        <sz val="9"/>
        <color rgb="FF000000"/>
        <rFont val="Arial"/>
        <family val="2"/>
      </rPr>
      <t> </t>
    </r>
  </si>
  <si>
    <t>128 </t>
  </si>
  <si>
    <r>
      <t>22,525</t>
    </r>
    <r>
      <rPr>
        <sz val="9"/>
        <color rgb="FF000000"/>
        <rFont val="Arial"/>
        <family val="2"/>
      </rPr>
      <t> </t>
    </r>
  </si>
  <si>
    <t>17,048 </t>
  </si>
  <si>
    <r>
      <t>14,996</t>
    </r>
    <r>
      <rPr>
        <sz val="9"/>
        <color rgb="FF000000"/>
        <rFont val="Arial"/>
        <family val="2"/>
      </rPr>
      <t> </t>
    </r>
  </si>
  <si>
    <t>13,475 </t>
  </si>
  <si>
    <r>
      <t>276,259</t>
    </r>
    <r>
      <rPr>
        <sz val="9"/>
        <color rgb="FF000000"/>
        <rFont val="Arial"/>
        <family val="2"/>
      </rPr>
      <t> </t>
    </r>
  </si>
  <si>
    <t>287,261 </t>
  </si>
  <si>
    <r>
      <t>742</t>
    </r>
    <r>
      <rPr>
        <sz val="9"/>
        <color rgb="FF000000"/>
        <rFont val="Arial"/>
        <family val="2"/>
      </rPr>
      <t> </t>
    </r>
  </si>
  <si>
    <r>
      <t>247</t>
    </r>
    <r>
      <rPr>
        <sz val="9"/>
        <color rgb="FF000000"/>
        <rFont val="Arial"/>
        <family val="2"/>
      </rPr>
      <t> </t>
    </r>
  </si>
  <si>
    <r>
      <t>494</t>
    </r>
    <r>
      <rPr>
        <sz val="9"/>
        <color rgb="FF000000"/>
        <rFont val="Arial"/>
        <family val="2"/>
      </rPr>
      <t> </t>
    </r>
  </si>
  <si>
    <r>
      <t>10,730</t>
    </r>
    <r>
      <rPr>
        <sz val="9"/>
        <color rgb="FF000000"/>
        <rFont val="Arial"/>
        <family val="2"/>
      </rPr>
      <t> </t>
    </r>
  </si>
  <si>
    <t>10,787 </t>
  </si>
  <si>
    <r>
      <t>27,028</t>
    </r>
    <r>
      <rPr>
        <sz val="9"/>
        <color rgb="FF000000"/>
        <rFont val="Arial"/>
        <family val="2"/>
      </rPr>
      <t> </t>
    </r>
  </si>
  <si>
    <t>25,238 </t>
  </si>
  <si>
    <r>
      <t>25,191</t>
    </r>
    <r>
      <rPr>
        <sz val="9"/>
        <color rgb="FF000000"/>
        <rFont val="Arial"/>
        <family val="2"/>
      </rPr>
      <t> </t>
    </r>
  </si>
  <si>
    <t>27,363 </t>
  </si>
  <si>
    <r>
      <t>3,467</t>
    </r>
    <r>
      <rPr>
        <sz val="9"/>
        <color rgb="FF000000"/>
        <rFont val="Arial"/>
        <family val="2"/>
      </rPr>
      <t> </t>
    </r>
  </si>
  <si>
    <r>
      <t>116,960</t>
    </r>
    <r>
      <rPr>
        <sz val="9"/>
        <color rgb="FF000000"/>
        <rFont val="Arial"/>
        <family val="2"/>
      </rPr>
      <t> </t>
    </r>
  </si>
  <si>
    <t>68,965 </t>
  </si>
  <si>
    <r>
      <t>3,106</t>
    </r>
    <r>
      <rPr>
        <sz val="9"/>
        <color rgb="FF000000"/>
        <rFont val="Arial"/>
        <family val="2"/>
      </rPr>
      <t> </t>
    </r>
  </si>
  <si>
    <t>1,487 </t>
  </si>
  <si>
    <r>
      <t>815</t>
    </r>
    <r>
      <rPr>
        <sz val="9"/>
        <color rgb="FF000000"/>
        <rFont val="Arial"/>
        <family val="2"/>
      </rPr>
      <t> </t>
    </r>
  </si>
  <si>
    <t>914 </t>
  </si>
  <si>
    <r>
      <t>59,048</t>
    </r>
    <r>
      <rPr>
        <sz val="9"/>
        <color rgb="FF000000"/>
        <rFont val="Arial"/>
        <family val="2"/>
      </rPr>
      <t> </t>
    </r>
  </si>
  <si>
    <t>53,815 </t>
  </si>
  <si>
    <r>
      <t>3,299</t>
    </r>
    <r>
      <rPr>
        <sz val="9"/>
        <color rgb="FF000000"/>
        <rFont val="Arial"/>
        <family val="2"/>
      </rPr>
      <t> </t>
    </r>
  </si>
  <si>
    <r>
      <t>48,929</t>
    </r>
    <r>
      <rPr>
        <sz val="9"/>
        <color rgb="FF000000"/>
        <rFont val="Arial"/>
        <family val="2"/>
      </rPr>
      <t> </t>
    </r>
  </si>
  <si>
    <t>41,782 </t>
  </si>
  <si>
    <r>
      <t>27,803</t>
    </r>
    <r>
      <rPr>
        <sz val="9"/>
        <color rgb="FF000000"/>
        <rFont val="Arial"/>
        <family val="2"/>
      </rPr>
      <t> </t>
    </r>
  </si>
  <si>
    <t>26,235 </t>
  </si>
  <si>
    <r>
      <t>2,154</t>
    </r>
    <r>
      <rPr>
        <sz val="9"/>
        <color rgb="FF000000"/>
        <rFont val="Arial"/>
        <family val="2"/>
      </rPr>
      <t> </t>
    </r>
  </si>
  <si>
    <t>2,282 </t>
  </si>
  <si>
    <r>
      <t>3,105</t>
    </r>
    <r>
      <rPr>
        <sz val="9"/>
        <color rgb="FF000000"/>
        <rFont val="Arial"/>
        <family val="2"/>
      </rPr>
      <t> </t>
    </r>
  </si>
  <si>
    <t>3,231 </t>
  </si>
  <si>
    <r>
      <t>7,683</t>
    </r>
    <r>
      <rPr>
        <sz val="9"/>
        <color rgb="FF000000"/>
        <rFont val="Arial"/>
        <family val="2"/>
      </rPr>
      <t> </t>
    </r>
  </si>
  <si>
    <t>7,556 </t>
  </si>
  <si>
    <r>
      <t>1,827</t>
    </r>
    <r>
      <rPr>
        <sz val="9"/>
        <color rgb="FF000000"/>
        <rFont val="Arial"/>
        <family val="2"/>
      </rPr>
      <t> </t>
    </r>
  </si>
  <si>
    <t>2,030 </t>
  </si>
  <si>
    <r>
      <t>36,510</t>
    </r>
    <r>
      <rPr>
        <sz val="9"/>
        <color rgb="FF000000"/>
        <rFont val="Arial"/>
        <family val="2"/>
      </rPr>
      <t> </t>
    </r>
  </si>
  <si>
    <t>34,011 </t>
  </si>
  <si>
    <r>
      <t>314,706</t>
    </r>
    <r>
      <rPr>
        <sz val="9"/>
        <color rgb="FF000000"/>
        <rFont val="Arial"/>
        <family val="2"/>
      </rPr>
      <t> </t>
    </r>
  </si>
  <si>
    <t>245,610 </t>
  </si>
  <si>
    <r>
      <t>49,439</t>
    </r>
    <r>
      <rPr>
        <sz val="9"/>
        <color rgb="FF000000"/>
        <rFont val="Arial"/>
        <family val="2"/>
      </rPr>
      <t> </t>
    </r>
  </si>
  <si>
    <t>34,031 </t>
  </si>
  <si>
    <r>
      <t>102,331</t>
    </r>
    <r>
      <rPr>
        <sz val="9"/>
        <color rgb="FF000000"/>
        <rFont val="Arial"/>
        <family val="2"/>
      </rPr>
      <t> </t>
    </r>
  </si>
  <si>
    <t>77,504 </t>
  </si>
  <si>
    <r>
      <t>88,028</t>
    </r>
    <r>
      <rPr>
        <sz val="9"/>
        <color rgb="FF000000"/>
        <rFont val="Arial"/>
        <family val="2"/>
      </rPr>
      <t> </t>
    </r>
  </si>
  <si>
    <t>70,337 </t>
  </si>
  <si>
    <r>
      <t>239,798</t>
    </r>
    <r>
      <rPr>
        <sz val="9"/>
        <color rgb="FF000000"/>
        <rFont val="Arial"/>
        <family val="2"/>
      </rPr>
      <t> </t>
    </r>
  </si>
  <si>
    <t>181,872 </t>
  </si>
  <si>
    <r>
      <t>3,413</t>
    </r>
    <r>
      <rPr>
        <sz val="9"/>
        <color rgb="FF000000"/>
        <rFont val="Arial"/>
        <family val="2"/>
      </rPr>
      <t> </t>
    </r>
  </si>
  <si>
    <t>1,102 </t>
  </si>
  <si>
    <r>
      <t>3,302</t>
    </r>
    <r>
      <rPr>
        <sz val="9"/>
        <color rgb="FF000000"/>
        <rFont val="Arial"/>
        <family val="2"/>
      </rPr>
      <t> </t>
    </r>
  </si>
  <si>
    <r>
      <t>685</t>
    </r>
    <r>
      <rPr>
        <sz val="9"/>
        <color rgb="FF000000"/>
        <rFont val="Arial"/>
        <family val="2"/>
      </rPr>
      <t> </t>
    </r>
  </si>
  <si>
    <t>839 </t>
  </si>
  <si>
    <r>
      <t>27,503</t>
    </r>
    <r>
      <rPr>
        <sz val="9"/>
        <color rgb="FF000000"/>
        <rFont val="Arial"/>
        <family val="2"/>
      </rPr>
      <t> </t>
    </r>
  </si>
  <si>
    <t>24,857 </t>
  </si>
  <si>
    <r>
      <t>13,805</t>
    </r>
    <r>
      <rPr>
        <sz val="9"/>
        <color rgb="FF000000"/>
        <rFont val="Arial"/>
        <family val="2"/>
      </rPr>
      <t> </t>
    </r>
  </si>
  <si>
    <t>12,509 </t>
  </si>
  <si>
    <r>
      <t>288,506</t>
    </r>
    <r>
      <rPr>
        <sz val="9"/>
        <color rgb="FF000000"/>
        <rFont val="Arial"/>
        <family val="2"/>
      </rPr>
      <t> </t>
    </r>
  </si>
  <si>
    <t>221,179 </t>
  </si>
  <si>
    <t>Series C, 5,000 shares issued and outstanding</t>
  </si>
  <si>
    <t>491 </t>
  </si>
  <si>
    <r>
      <t>10,205</t>
    </r>
    <r>
      <rPr>
        <sz val="9"/>
        <color rgb="FF000000"/>
        <rFont val="Arial"/>
        <family val="2"/>
      </rPr>
      <t> </t>
    </r>
  </si>
  <si>
    <t>10,132 </t>
  </si>
  <si>
    <r>
      <t>23,442</t>
    </r>
    <r>
      <rPr>
        <sz val="9"/>
        <color rgb="FF000000"/>
        <rFont val="Arial"/>
        <family val="2"/>
      </rPr>
      <t> </t>
    </r>
  </si>
  <si>
    <t>21,918 </t>
  </si>
  <si>
    <r>
      <t>187</t>
    </r>
    <r>
      <rPr>
        <sz val="9"/>
        <color rgb="FF000000"/>
        <rFont val="Arial"/>
        <family val="2"/>
      </rPr>
      <t> </t>
    </r>
  </si>
  <si>
    <r>
      <t>26,200</t>
    </r>
    <r>
      <rPr>
        <sz val="9"/>
        <color rgb="FF000000"/>
        <rFont val="Arial"/>
        <family val="2"/>
      </rPr>
      <t> </t>
    </r>
  </si>
  <si>
    <t>24,431 </t>
  </si>
  <si>
    <t xml:space="preserve">Investment securities available-for-sale </t>
  </si>
  <si>
    <t xml:space="preserve">Investment securities held-to-maturity </t>
  </si>
  <si>
    <t xml:space="preserve">Investment securities held-to-maturity purchased under money market liquidity facility </t>
  </si>
  <si>
    <t>Short term borrowings under money market liquidity facility</t>
  </si>
  <si>
    <t>Series E, 7,500 shares issued and outstanding</t>
  </si>
  <si>
    <t>Liquidity Ratios Section</t>
  </si>
  <si>
    <t>Leverage Ratios Section</t>
  </si>
  <si>
    <t>Long Term Debt</t>
  </si>
  <si>
    <t>Efficiency Ratio Section</t>
  </si>
  <si>
    <t>Profitability Ratios Section</t>
  </si>
  <si>
    <t>Sales (Net Revenue)</t>
  </si>
  <si>
    <t>Consolidated Financial Ratios Table</t>
  </si>
  <si>
    <t>Preferred
Stock</t>
  </si>
  <si>
    <t>Common Stock</t>
  </si>
  <si>
    <t>Shares</t>
  </si>
  <si>
    <t>Amount</t>
  </si>
  <si>
    <t>Retained
Earnings</t>
  </si>
  <si>
    <t>Accumulated
Other
Comprehensive
Income (Loss)</t>
  </si>
  <si>
    <t>Treasury Stock</t>
  </si>
  <si>
    <t>Total</t>
  </si>
  <si>
    <t xml:space="preserve">10,730 		</t>
  </si>
  <si>
    <t xml:space="preserve">27,028 		</t>
  </si>
  <si>
    <t xml:space="preserve">154,855 		</t>
  </si>
  <si>
    <t xml:space="preserve">1,976 		</t>
  </si>
  <si>
    <t xml:space="preserve">503,880 		</t>
  </si>
  <si>
    <t xml:space="preserve">504 		</t>
  </si>
  <si>
    <t xml:space="preserve">10,787 		</t>
  </si>
  <si>
    <t xml:space="preserve">25,238 	</t>
  </si>
  <si>
    <t xml:space="preserve">27,363 	</t>
  </si>
  <si>
    <t xml:space="preserve">2,471 		</t>
  </si>
  <si>
    <t xml:space="preserve">503,880 	</t>
  </si>
  <si>
    <t xml:space="preserve">504 	</t>
  </si>
  <si>
    <t xml:space="preserve">10,205 		</t>
  </si>
  <si>
    <t xml:space="preserve">23,442 	</t>
  </si>
  <si>
    <t xml:space="preserve">187 		</t>
  </si>
  <si>
    <t xml:space="preserve">150,723 		</t>
  </si>
  <si>
    <t xml:space="preserve">2,962 		</t>
  </si>
  <si>
    <t>Dollars in millions, except per share amounts, shares in thousands</t>
  </si>
  <si>
    <t xml:space="preserve">10,741 		</t>
  </si>
  <si>
    <t xml:space="preserve">27,957 	</t>
  </si>
  <si>
    <t xml:space="preserve">201,936 	</t>
  </si>
  <si>
    <t xml:space="preserve">2,816 		</t>
  </si>
  <si>
    <t xml:space="preserve">215,113 	</t>
  </si>
  <si>
    <t xml:space="preserve">25,326 	</t>
  </si>
  <si>
    <t>Consolidated Statement of condition</t>
  </si>
  <si>
    <t>Consolidated statement of cash flows</t>
  </si>
  <si>
    <t>Consolidated statement of changes in shareholders’ equity</t>
  </si>
  <si>
    <t>State Street Corporation</t>
  </si>
  <si>
    <t>Additional Data Section</t>
  </si>
  <si>
    <t xml:space="preserve">Loans </t>
  </si>
  <si>
    <t>Premises and equipment</t>
  </si>
  <si>
    <t>Treasury stock, at cost</t>
  </si>
  <si>
    <t>Consolidated statement of comprehensive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</si>
</sst>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1"/>
      <color theme="1"/>
      <name val="Times New Roman"/>
      <family val="1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Times New Roman"/>
      <family val="1"/>
    </font>
    <font>
      <b/>
      <sz val="8"/>
      <color theme="1"/>
      <name val="Arial"/>
      <family val="2"/>
    </font>
    <font>
      <b/>
      <sz val="7.5"/>
      <color rgb="FF000000"/>
      <name val="Arial"/>
      <family val="2"/>
    </font>
    <font>
      <sz val="9"/>
      <color rgb="FFFF000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8">
    <xf numFmtId="0" fontId="0" fillId="0" borderId="0" xfId="0"/>
    <xf numFmtId="0" fontId="8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3" fontId="6" fillId="0" borderId="1" xfId="0" applyNumberFormat="1" applyFont="1" applyBorder="1" applyAlignment="1">
      <alignment horizontal="left" vertical="top" wrapText="1"/>
    </xf>
    <xf numFmtId="0" fontId="13" fillId="0" borderId="0" xfId="0" applyFont="1"/>
    <xf numFmtId="0" fontId="1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wrapText="1"/>
    </xf>
    <xf numFmtId="0" fontId="5" fillId="0" borderId="3" xfId="0" applyFont="1" applyBorder="1" applyAlignment="1">
      <alignment vertical="top" wrapText="1"/>
    </xf>
    <xf numFmtId="0" fontId="15" fillId="0" borderId="1" xfId="0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 vertical="top" wrapText="1"/>
    </xf>
    <xf numFmtId="3" fontId="6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wrapText="1"/>
    </xf>
    <xf numFmtId="0" fontId="16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Normal" xfId="0" builtinId="0"/>
    <cellStyle name="Normal 2" xfId="1" xr:uid="{CB5CC61E-ACE1-4EDE-93AC-E890F6A83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ED0D-9830-4283-8E7D-1CCF0942C34A}">
  <dimension ref="A1:K66"/>
  <sheetViews>
    <sheetView tabSelected="1" topLeftCell="A61" workbookViewId="0">
      <selection activeCell="A5" sqref="A5:XFD5"/>
    </sheetView>
  </sheetViews>
  <sheetFormatPr defaultRowHeight="13.8" x14ac:dyDescent="0.25"/>
  <cols>
    <col min="1" max="1" width="18.109375" style="22" customWidth="1"/>
    <col min="2" max="4" width="8.88671875" style="8"/>
    <col min="5" max="5" width="10.21875" style="8" customWidth="1"/>
    <col min="6" max="16384" width="8.88671875" style="8"/>
  </cols>
  <sheetData>
    <row r="1" spans="1:11" ht="27.6" customHeight="1" x14ac:dyDescent="0.25">
      <c r="A1" s="29" t="s">
        <v>654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14.4" customHeight="1" x14ac:dyDescent="0.25">
      <c r="A2" s="19"/>
      <c r="B2" s="10"/>
      <c r="C2" s="10"/>
      <c r="D2" s="10"/>
      <c r="E2" s="12"/>
      <c r="F2" s="12"/>
      <c r="G2" s="12"/>
      <c r="H2" s="12"/>
      <c r="I2" s="12"/>
      <c r="J2" s="12"/>
      <c r="K2" s="12"/>
    </row>
    <row r="3" spans="1:11" ht="27.6" customHeight="1" x14ac:dyDescent="0.25">
      <c r="A3" s="28" t="s">
        <v>612</v>
      </c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9" customHeight="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</row>
    <row r="5" spans="1:11" x14ac:dyDescent="0.25">
      <c r="A5" s="20" t="s">
        <v>0</v>
      </c>
      <c r="B5" s="9">
        <v>2015</v>
      </c>
      <c r="C5" s="9">
        <v>2016</v>
      </c>
      <c r="D5" s="9">
        <v>2017</v>
      </c>
      <c r="E5" s="9">
        <v>2018</v>
      </c>
      <c r="F5" s="9">
        <v>2019</v>
      </c>
      <c r="G5" s="9">
        <v>2020</v>
      </c>
      <c r="H5" s="9">
        <v>2021</v>
      </c>
      <c r="I5" s="9">
        <v>2022</v>
      </c>
      <c r="J5" s="9">
        <v>2023</v>
      </c>
      <c r="K5" s="9">
        <v>2024</v>
      </c>
    </row>
    <row r="6" spans="1:11" x14ac:dyDescent="0.25">
      <c r="A6" s="21" t="s">
        <v>1</v>
      </c>
      <c r="B6" s="17">
        <v>78891</v>
      </c>
      <c r="C6" s="17">
        <v>74893</v>
      </c>
      <c r="D6" s="17">
        <v>72433</v>
      </c>
      <c r="E6" s="17">
        <v>79840</v>
      </c>
      <c r="F6" s="17">
        <v>75498</v>
      </c>
      <c r="G6" s="17">
        <v>123532</v>
      </c>
      <c r="H6" s="17">
        <v>113267</v>
      </c>
      <c r="I6" s="17">
        <v>108997</v>
      </c>
      <c r="J6" s="17">
        <v>95518</v>
      </c>
      <c r="K6" s="17">
        <v>120136</v>
      </c>
    </row>
    <row r="7" spans="1:11" x14ac:dyDescent="0.25">
      <c r="A7" s="21" t="s">
        <v>2</v>
      </c>
      <c r="B7" s="17">
        <v>191627</v>
      </c>
      <c r="C7" s="17">
        <v>187163</v>
      </c>
      <c r="D7" s="17">
        <v>184896</v>
      </c>
      <c r="E7" s="17">
        <v>180360</v>
      </c>
      <c r="F7" s="17">
        <v>181872</v>
      </c>
      <c r="G7" s="17">
        <v>239798</v>
      </c>
      <c r="H7" s="17">
        <v>255035</v>
      </c>
      <c r="I7" s="17">
        <v>235464</v>
      </c>
      <c r="J7" s="17">
        <v>220970</v>
      </c>
      <c r="K7" s="17">
        <v>261920</v>
      </c>
    </row>
    <row r="8" spans="1:11" x14ac:dyDescent="0.25">
      <c r="A8" s="21" t="s">
        <v>3</v>
      </c>
      <c r="B8" s="16">
        <v>0.41</v>
      </c>
      <c r="C8" s="16">
        <v>0.4</v>
      </c>
      <c r="D8" s="16">
        <v>0.39</v>
      </c>
      <c r="E8" s="16">
        <v>0.44</v>
      </c>
      <c r="F8" s="16">
        <v>0.42</v>
      </c>
      <c r="G8" s="16">
        <v>0.52</v>
      </c>
      <c r="H8" s="16">
        <v>0.44</v>
      </c>
      <c r="I8" s="16">
        <v>0.46</v>
      </c>
      <c r="J8" s="16">
        <v>0.43</v>
      </c>
      <c r="K8" s="16">
        <v>0.46</v>
      </c>
    </row>
    <row r="9" spans="1:11" ht="27" customHeight="1" x14ac:dyDescent="0.25">
      <c r="A9" s="21" t="s">
        <v>6</v>
      </c>
      <c r="B9" s="17">
        <v>78891</v>
      </c>
      <c r="C9" s="17">
        <v>74893</v>
      </c>
      <c r="D9" s="17">
        <v>72433</v>
      </c>
      <c r="E9" s="17">
        <v>79840</v>
      </c>
      <c r="F9" s="17">
        <v>75498</v>
      </c>
      <c r="G9" s="17">
        <v>123532</v>
      </c>
      <c r="H9" s="17">
        <v>113267</v>
      </c>
      <c r="I9" s="17">
        <v>108997</v>
      </c>
      <c r="J9" s="17">
        <v>95518</v>
      </c>
      <c r="K9" s="17">
        <v>120136</v>
      </c>
    </row>
    <row r="10" spans="1:11" x14ac:dyDescent="0.25">
      <c r="A10" s="21" t="s">
        <v>7</v>
      </c>
      <c r="B10" s="16">
        <v>0.41</v>
      </c>
      <c r="C10" s="16">
        <v>0.4</v>
      </c>
      <c r="D10" s="16">
        <v>0.39</v>
      </c>
      <c r="E10" s="16">
        <v>0.44</v>
      </c>
      <c r="F10" s="16">
        <v>0.42</v>
      </c>
      <c r="G10" s="16">
        <v>0.52</v>
      </c>
      <c r="H10" s="16">
        <v>0.44</v>
      </c>
      <c r="I10" s="16">
        <v>0.46</v>
      </c>
      <c r="J10" s="16">
        <v>0.43</v>
      </c>
      <c r="K10" s="16">
        <v>0.46</v>
      </c>
    </row>
    <row r="11" spans="1:11" x14ac:dyDescent="0.25">
      <c r="A11" s="21" t="s">
        <v>8</v>
      </c>
      <c r="B11" s="17">
        <v>76545</v>
      </c>
      <c r="C11" s="17">
        <v>72249</v>
      </c>
      <c r="D11" s="17">
        <v>69334</v>
      </c>
      <c r="E11" s="17">
        <v>76637</v>
      </c>
      <c r="F11" s="17">
        <v>72267</v>
      </c>
      <c r="G11" s="17">
        <v>120427</v>
      </c>
      <c r="H11" s="17">
        <v>109989</v>
      </c>
      <c r="I11" s="17">
        <v>105563</v>
      </c>
      <c r="J11" s="17">
        <v>91712</v>
      </c>
      <c r="K11" s="17">
        <v>116102</v>
      </c>
    </row>
    <row r="12" spans="1:11" x14ac:dyDescent="0.25">
      <c r="A12" s="21" t="s">
        <v>9</v>
      </c>
      <c r="B12" s="16">
        <v>0.4</v>
      </c>
      <c r="C12" s="16">
        <v>0.39</v>
      </c>
      <c r="D12" s="16">
        <v>0.37</v>
      </c>
      <c r="E12" s="16">
        <v>0.42</v>
      </c>
      <c r="F12" s="16">
        <v>0.4</v>
      </c>
      <c r="G12" s="16">
        <v>0.5</v>
      </c>
      <c r="H12" s="16">
        <v>0.43</v>
      </c>
      <c r="I12" s="16">
        <v>0.45</v>
      </c>
      <c r="J12" s="16">
        <v>0.41</v>
      </c>
      <c r="K12" s="16">
        <v>0.44</v>
      </c>
    </row>
    <row r="13" spans="1:11" x14ac:dyDescent="0.25"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1" ht="15.6" customHeight="1" x14ac:dyDescent="0.25">
      <c r="A14" s="28" t="s">
        <v>613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spans="1:11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11" x14ac:dyDescent="0.25">
      <c r="A16" s="20" t="s">
        <v>0</v>
      </c>
      <c r="B16" s="9">
        <v>2015</v>
      </c>
      <c r="C16" s="9">
        <v>2016</v>
      </c>
      <c r="D16" s="9">
        <v>2017</v>
      </c>
      <c r="E16" s="9">
        <v>2018</v>
      </c>
      <c r="F16" s="9">
        <v>2019</v>
      </c>
      <c r="G16" s="9">
        <v>2020</v>
      </c>
      <c r="H16" s="9">
        <v>2021</v>
      </c>
      <c r="I16" s="9">
        <v>2022</v>
      </c>
      <c r="J16" s="9">
        <v>2023</v>
      </c>
      <c r="K16" s="9">
        <v>2024</v>
      </c>
    </row>
    <row r="17" spans="1:11" x14ac:dyDescent="0.25">
      <c r="A17" s="21" t="s">
        <v>10</v>
      </c>
      <c r="B17" s="17">
        <v>1754</v>
      </c>
      <c r="C17" s="17">
        <v>1585</v>
      </c>
      <c r="D17" s="17">
        <v>1144</v>
      </c>
      <c r="E17" s="17">
        <v>3092</v>
      </c>
      <c r="F17" s="16">
        <v>839</v>
      </c>
      <c r="G17" s="16">
        <v>685</v>
      </c>
      <c r="H17" s="16">
        <v>128</v>
      </c>
      <c r="I17" s="17">
        <v>2097</v>
      </c>
      <c r="J17" s="17">
        <v>3660</v>
      </c>
      <c r="K17" s="17">
        <v>9840</v>
      </c>
    </row>
    <row r="18" spans="1:11" x14ac:dyDescent="0.25">
      <c r="A18" s="21" t="s">
        <v>614</v>
      </c>
      <c r="B18" s="17">
        <v>11497</v>
      </c>
      <c r="C18" s="17">
        <v>11430</v>
      </c>
      <c r="D18" s="17">
        <v>11620</v>
      </c>
      <c r="E18" s="17">
        <v>11093</v>
      </c>
      <c r="F18" s="17">
        <v>12509</v>
      </c>
      <c r="G18" s="17">
        <v>13805</v>
      </c>
      <c r="H18" s="17">
        <v>13475</v>
      </c>
      <c r="I18" s="17">
        <v>14996</v>
      </c>
      <c r="J18" s="17">
        <v>18839</v>
      </c>
      <c r="K18" s="17">
        <v>23272</v>
      </c>
    </row>
    <row r="19" spans="1:11" x14ac:dyDescent="0.25">
      <c r="A19" s="21" t="s">
        <v>11</v>
      </c>
      <c r="B19" s="17">
        <v>13251</v>
      </c>
      <c r="C19" s="17">
        <v>13015</v>
      </c>
      <c r="D19" s="17">
        <v>12764</v>
      </c>
      <c r="E19" s="17">
        <v>14185</v>
      </c>
      <c r="F19" s="17">
        <v>13348</v>
      </c>
      <c r="G19" s="17">
        <v>14490</v>
      </c>
      <c r="H19" s="17">
        <v>13603</v>
      </c>
      <c r="I19" s="17">
        <v>17093</v>
      </c>
      <c r="J19" s="17">
        <v>22499</v>
      </c>
      <c r="K19" s="17">
        <v>33112</v>
      </c>
    </row>
    <row r="20" spans="1:11" ht="23.4" customHeight="1" x14ac:dyDescent="0.25">
      <c r="A20" s="21" t="s">
        <v>12</v>
      </c>
      <c r="B20" s="17">
        <v>21135</v>
      </c>
      <c r="C20" s="17">
        <v>21219</v>
      </c>
      <c r="D20" s="17">
        <v>22317</v>
      </c>
      <c r="E20" s="17">
        <v>24790</v>
      </c>
      <c r="F20" s="17">
        <v>24431</v>
      </c>
      <c r="G20" s="17">
        <v>26200</v>
      </c>
      <c r="H20" s="17">
        <v>27363</v>
      </c>
      <c r="I20" s="17">
        <v>25191</v>
      </c>
      <c r="J20" s="17">
        <v>23799</v>
      </c>
      <c r="K20" s="17">
        <v>25326</v>
      </c>
    </row>
    <row r="21" spans="1:11" ht="27.6" customHeight="1" x14ac:dyDescent="0.25">
      <c r="A21" s="21" t="s">
        <v>13</v>
      </c>
      <c r="B21" s="16">
        <v>0.63</v>
      </c>
      <c r="C21" s="16">
        <v>0.61</v>
      </c>
      <c r="D21" s="16">
        <v>0.56999999999999995</v>
      </c>
      <c r="E21" s="16">
        <v>0.56999999999999995</v>
      </c>
      <c r="F21" s="16">
        <v>0.55000000000000004</v>
      </c>
      <c r="G21" s="16">
        <v>0.55000000000000004</v>
      </c>
      <c r="H21" s="16">
        <v>0.5</v>
      </c>
      <c r="I21" s="16">
        <v>0.68</v>
      </c>
      <c r="J21" s="16">
        <v>0.95</v>
      </c>
      <c r="K21" s="16">
        <v>1.31</v>
      </c>
    </row>
    <row r="22" spans="1:11" x14ac:dyDescent="0.25">
      <c r="A22" s="21" t="s">
        <v>14</v>
      </c>
      <c r="B22" s="17">
        <v>245155</v>
      </c>
      <c r="C22" s="17">
        <v>242698</v>
      </c>
      <c r="D22" s="17">
        <v>238425</v>
      </c>
      <c r="E22" s="17">
        <v>244626</v>
      </c>
      <c r="F22" s="17">
        <v>245610</v>
      </c>
      <c r="G22" s="17">
        <v>314706</v>
      </c>
      <c r="H22" s="17">
        <v>314624</v>
      </c>
      <c r="I22" s="17">
        <v>301450</v>
      </c>
      <c r="J22" s="17">
        <v>297258</v>
      </c>
      <c r="K22" s="17">
        <v>353240</v>
      </c>
    </row>
    <row r="23" spans="1:11" ht="25.8" customHeight="1" x14ac:dyDescent="0.25">
      <c r="A23" s="21" t="s">
        <v>15</v>
      </c>
      <c r="B23" s="16">
        <v>0.05</v>
      </c>
      <c r="C23" s="16">
        <v>0.05</v>
      </c>
      <c r="D23" s="16">
        <v>0.05</v>
      </c>
      <c r="E23" s="16">
        <v>0.06</v>
      </c>
      <c r="F23" s="16">
        <v>0.05</v>
      </c>
      <c r="G23" s="16">
        <v>0.05</v>
      </c>
      <c r="H23" s="16">
        <v>0.04</v>
      </c>
      <c r="I23" s="16">
        <v>0.06</v>
      </c>
      <c r="J23" s="16">
        <v>0.08</v>
      </c>
      <c r="K23" s="16">
        <v>0.09</v>
      </c>
    </row>
    <row r="24" spans="1:11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1:11" ht="15.6" customHeight="1" x14ac:dyDescent="0.25">
      <c r="A25" s="28" t="s">
        <v>615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</row>
    <row r="26" spans="1:11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spans="1:11" x14ac:dyDescent="0.25">
      <c r="A27" s="20" t="s">
        <v>0</v>
      </c>
      <c r="B27" s="9">
        <v>2015</v>
      </c>
      <c r="C27" s="9">
        <v>2016</v>
      </c>
      <c r="D27" s="9">
        <v>2017</v>
      </c>
      <c r="E27" s="9">
        <v>2018</v>
      </c>
      <c r="F27" s="9">
        <v>2019</v>
      </c>
      <c r="G27" s="9">
        <v>2020</v>
      </c>
      <c r="H27" s="9">
        <v>2021</v>
      </c>
      <c r="I27" s="9">
        <v>2022</v>
      </c>
      <c r="J27" s="9">
        <v>2023</v>
      </c>
      <c r="K27" s="9">
        <v>2024</v>
      </c>
    </row>
    <row r="28" spans="1:11" x14ac:dyDescent="0.25">
      <c r="A28" s="21" t="s">
        <v>5</v>
      </c>
      <c r="B28" s="17">
        <v>2346</v>
      </c>
      <c r="C28" s="17">
        <v>2644</v>
      </c>
      <c r="D28" s="17">
        <v>3099</v>
      </c>
      <c r="E28" s="17">
        <v>3203</v>
      </c>
      <c r="F28" s="17">
        <v>3231</v>
      </c>
      <c r="G28" s="17">
        <v>3105</v>
      </c>
      <c r="H28" s="17">
        <v>3278</v>
      </c>
      <c r="I28" s="17">
        <v>3434</v>
      </c>
      <c r="J28" s="17">
        <v>3806</v>
      </c>
      <c r="K28" s="17">
        <v>4034</v>
      </c>
    </row>
    <row r="29" spans="1:11" x14ac:dyDescent="0.25">
      <c r="A29" s="21" t="s">
        <v>20</v>
      </c>
      <c r="B29" s="17">
        <v>10360</v>
      </c>
      <c r="C29" s="17">
        <v>10207</v>
      </c>
      <c r="D29" s="17">
        <v>11170</v>
      </c>
      <c r="E29" s="17">
        <v>12131</v>
      </c>
      <c r="F29" s="17">
        <v>11756</v>
      </c>
      <c r="G29" s="17">
        <v>11703</v>
      </c>
      <c r="H29" s="17">
        <v>12027</v>
      </c>
      <c r="I29" s="17">
        <v>12148</v>
      </c>
      <c r="J29" s="17">
        <v>11945</v>
      </c>
      <c r="K29" s="17">
        <v>13000</v>
      </c>
    </row>
    <row r="30" spans="1:11" ht="27.6" customHeight="1" x14ac:dyDescent="0.25">
      <c r="A30" s="21" t="s">
        <v>17</v>
      </c>
      <c r="B30" s="16">
        <v>82.67</v>
      </c>
      <c r="C30" s="16">
        <v>94.55</v>
      </c>
      <c r="D30" s="16">
        <v>101.26</v>
      </c>
      <c r="E30" s="16">
        <v>96.39</v>
      </c>
      <c r="F30" s="16">
        <v>100.31</v>
      </c>
      <c r="G30" s="16">
        <v>96.85</v>
      </c>
      <c r="H30" s="16">
        <v>99.53</v>
      </c>
      <c r="I30" s="16">
        <v>103.19</v>
      </c>
      <c r="J30" s="16">
        <v>116.28</v>
      </c>
      <c r="K30" s="16">
        <v>113.27</v>
      </c>
    </row>
    <row r="31" spans="1:11" x14ac:dyDescent="0.25"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 ht="15.6" customHeight="1" x14ac:dyDescent="0.25">
      <c r="A32" s="28" t="s">
        <v>616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</row>
    <row r="33" spans="1:11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</row>
    <row r="34" spans="1:11" x14ac:dyDescent="0.25">
      <c r="A34" s="20" t="s">
        <v>0</v>
      </c>
      <c r="B34" s="9">
        <v>2015</v>
      </c>
      <c r="C34" s="9">
        <v>2016</v>
      </c>
      <c r="D34" s="9">
        <v>2017</v>
      </c>
      <c r="E34" s="9">
        <v>2018</v>
      </c>
      <c r="F34" s="9">
        <v>2019</v>
      </c>
      <c r="G34" s="9">
        <v>2020</v>
      </c>
      <c r="H34" s="9">
        <v>2021</v>
      </c>
      <c r="I34" s="9">
        <v>2022</v>
      </c>
      <c r="J34" s="9">
        <v>2023</v>
      </c>
      <c r="K34" s="9">
        <v>2024</v>
      </c>
    </row>
    <row r="35" spans="1:11" x14ac:dyDescent="0.25">
      <c r="A35" s="21" t="s">
        <v>16</v>
      </c>
      <c r="B35" s="17">
        <v>1980</v>
      </c>
      <c r="C35" s="17">
        <v>2143</v>
      </c>
      <c r="D35" s="17">
        <v>2177</v>
      </c>
      <c r="E35" s="17">
        <v>2593</v>
      </c>
      <c r="F35" s="17">
        <v>2242</v>
      </c>
      <c r="G35" s="17">
        <v>2420</v>
      </c>
      <c r="H35" s="17">
        <v>2693</v>
      </c>
      <c r="I35" s="17">
        <v>2774</v>
      </c>
      <c r="J35" s="17">
        <v>1944</v>
      </c>
      <c r="K35" s="17">
        <v>2687</v>
      </c>
    </row>
    <row r="36" spans="1:11" ht="22.8" x14ac:dyDescent="0.25">
      <c r="A36" s="21" t="s">
        <v>12</v>
      </c>
      <c r="B36" s="17">
        <v>21135</v>
      </c>
      <c r="C36" s="17">
        <v>21219</v>
      </c>
      <c r="D36" s="17">
        <v>22317</v>
      </c>
      <c r="E36" s="17">
        <v>24790</v>
      </c>
      <c r="F36" s="17">
        <v>24431</v>
      </c>
      <c r="G36" s="17">
        <v>26200</v>
      </c>
      <c r="H36" s="17">
        <v>27363</v>
      </c>
      <c r="I36" s="17">
        <v>25191</v>
      </c>
      <c r="J36" s="17">
        <v>23799</v>
      </c>
      <c r="K36" s="17">
        <v>25326</v>
      </c>
    </row>
    <row r="37" spans="1:11" x14ac:dyDescent="0.25">
      <c r="A37" s="21" t="s">
        <v>18</v>
      </c>
      <c r="B37" s="16">
        <v>0.09</v>
      </c>
      <c r="C37" s="16">
        <v>0.1</v>
      </c>
      <c r="D37" s="16">
        <v>0.1</v>
      </c>
      <c r="E37" s="16">
        <v>0.1</v>
      </c>
      <c r="F37" s="16">
        <v>0.09</v>
      </c>
      <c r="G37" s="16">
        <v>0.09</v>
      </c>
      <c r="H37" s="16">
        <v>0.1</v>
      </c>
      <c r="I37" s="16">
        <v>0.11</v>
      </c>
      <c r="J37" s="16">
        <v>0.08</v>
      </c>
      <c r="K37" s="16">
        <v>0.11</v>
      </c>
    </row>
    <row r="38" spans="1:11" x14ac:dyDescent="0.25">
      <c r="A38" s="21" t="s">
        <v>14</v>
      </c>
      <c r="B38" s="17">
        <v>245155</v>
      </c>
      <c r="C38" s="17">
        <v>242698</v>
      </c>
      <c r="D38" s="17">
        <v>238425</v>
      </c>
      <c r="E38" s="17">
        <v>244626</v>
      </c>
      <c r="F38" s="17">
        <v>245610</v>
      </c>
      <c r="G38" s="17">
        <v>314706</v>
      </c>
      <c r="H38" s="17">
        <v>314624</v>
      </c>
      <c r="I38" s="17">
        <v>301450</v>
      </c>
      <c r="J38" s="17">
        <v>297258</v>
      </c>
      <c r="K38" s="17">
        <v>353240</v>
      </c>
    </row>
    <row r="39" spans="1:11" x14ac:dyDescent="0.25">
      <c r="A39" s="21" t="s">
        <v>19</v>
      </c>
      <c r="B39" s="16">
        <v>8.0000000000000002E-3</v>
      </c>
      <c r="C39" s="16">
        <v>8.9999999999999993E-3</v>
      </c>
      <c r="D39" s="16">
        <v>8.9999999999999993E-3</v>
      </c>
      <c r="E39" s="16">
        <v>1.0999999999999999E-2</v>
      </c>
      <c r="F39" s="16">
        <v>8.9999999999999993E-3</v>
      </c>
      <c r="G39" s="16">
        <v>8.0000000000000002E-3</v>
      </c>
      <c r="H39" s="16">
        <v>8.9999999999999993E-3</v>
      </c>
      <c r="I39" s="16">
        <v>8.9999999999999993E-3</v>
      </c>
      <c r="J39" s="16">
        <v>7.0000000000000001E-3</v>
      </c>
      <c r="K39" s="16">
        <v>8.0000000000000002E-3</v>
      </c>
    </row>
    <row r="40" spans="1:11" x14ac:dyDescent="0.25">
      <c r="A40" s="21" t="s">
        <v>20</v>
      </c>
      <c r="B40" s="17">
        <v>10360</v>
      </c>
      <c r="C40" s="17">
        <v>10207</v>
      </c>
      <c r="D40" s="17">
        <v>11170</v>
      </c>
      <c r="E40" s="17">
        <v>12131</v>
      </c>
      <c r="F40" s="17">
        <v>11756</v>
      </c>
      <c r="G40" s="17">
        <v>11703</v>
      </c>
      <c r="H40" s="17">
        <v>12027</v>
      </c>
      <c r="I40" s="17">
        <v>12148</v>
      </c>
      <c r="J40" s="17">
        <v>11945</v>
      </c>
      <c r="K40" s="17">
        <v>13000</v>
      </c>
    </row>
    <row r="41" spans="1:11" x14ac:dyDescent="0.25">
      <c r="A41" s="21" t="s">
        <v>21</v>
      </c>
      <c r="B41" s="16">
        <v>0.19</v>
      </c>
      <c r="C41" s="16">
        <v>0.21</v>
      </c>
      <c r="D41" s="16">
        <v>0.19</v>
      </c>
      <c r="E41" s="16">
        <v>0.21</v>
      </c>
      <c r="F41" s="16">
        <v>0.19</v>
      </c>
      <c r="G41" s="16">
        <v>0.21</v>
      </c>
      <c r="H41" s="16">
        <v>0.22</v>
      </c>
      <c r="I41" s="16">
        <v>0.23</v>
      </c>
      <c r="J41" s="16">
        <v>0.16</v>
      </c>
      <c r="K41" s="16">
        <v>0.21</v>
      </c>
    </row>
    <row r="42" spans="1:11" x14ac:dyDescent="0.25">
      <c r="A42" s="21" t="s">
        <v>22</v>
      </c>
      <c r="B42" s="18">
        <v>9.3699999999999992</v>
      </c>
      <c r="C42" s="18">
        <v>10.1</v>
      </c>
      <c r="D42" s="18">
        <v>9.76</v>
      </c>
      <c r="E42" s="18">
        <v>10.46</v>
      </c>
      <c r="F42" s="18">
        <v>9.18</v>
      </c>
      <c r="G42" s="18">
        <v>9.24</v>
      </c>
      <c r="H42" s="18">
        <v>9.84</v>
      </c>
      <c r="I42" s="18">
        <v>11.01</v>
      </c>
      <c r="J42" s="18">
        <v>8.17</v>
      </c>
      <c r="K42" s="18">
        <v>10.61</v>
      </c>
    </row>
    <row r="43" spans="1:11" x14ac:dyDescent="0.25"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 ht="15.6" customHeight="1" x14ac:dyDescent="0.25">
      <c r="A44" s="28" t="s">
        <v>655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</row>
    <row r="45" spans="1:11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</row>
    <row r="46" spans="1:11" x14ac:dyDescent="0.25">
      <c r="A46" s="20" t="s">
        <v>0</v>
      </c>
      <c r="B46" s="9">
        <v>2015</v>
      </c>
      <c r="C46" s="9">
        <v>2016</v>
      </c>
      <c r="D46" s="9">
        <v>2017</v>
      </c>
      <c r="E46" s="9">
        <v>2018</v>
      </c>
      <c r="F46" s="9">
        <v>2019</v>
      </c>
      <c r="G46" s="9">
        <v>2020</v>
      </c>
      <c r="H46" s="9">
        <v>2021</v>
      </c>
      <c r="I46" s="9">
        <v>2022</v>
      </c>
      <c r="J46" s="9">
        <v>2023</v>
      </c>
      <c r="K46" s="9">
        <v>2024</v>
      </c>
    </row>
    <row r="47" spans="1:11" x14ac:dyDescent="0.25">
      <c r="A47" s="21" t="s">
        <v>23</v>
      </c>
      <c r="B47" s="16">
        <v>0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</row>
    <row r="48" spans="1:11" x14ac:dyDescent="0.25">
      <c r="A48" s="21" t="s">
        <v>4</v>
      </c>
      <c r="B48" s="17">
        <v>1207</v>
      </c>
      <c r="C48" s="17">
        <v>1314</v>
      </c>
      <c r="D48" s="17">
        <v>2107</v>
      </c>
      <c r="E48" s="17">
        <v>3597</v>
      </c>
      <c r="F48" s="17">
        <v>3302</v>
      </c>
      <c r="G48" s="17">
        <v>3467</v>
      </c>
      <c r="H48" s="17">
        <v>3631</v>
      </c>
      <c r="I48" s="17">
        <v>3970</v>
      </c>
      <c r="J48" s="17">
        <v>4047</v>
      </c>
      <c r="K48" s="17">
        <v>3145</v>
      </c>
    </row>
    <row r="49" spans="1:11" x14ac:dyDescent="0.25">
      <c r="A49" s="21" t="s">
        <v>24</v>
      </c>
      <c r="B49" s="17">
        <v>224020</v>
      </c>
      <c r="C49" s="17">
        <v>221479</v>
      </c>
      <c r="D49" s="17">
        <v>216108</v>
      </c>
      <c r="E49" s="17">
        <v>219836</v>
      </c>
      <c r="F49" s="17">
        <v>221179</v>
      </c>
      <c r="G49" s="17">
        <v>288506</v>
      </c>
      <c r="H49" s="17">
        <v>287261</v>
      </c>
      <c r="I49" s="17">
        <v>276259</v>
      </c>
      <c r="J49" s="17">
        <v>273459</v>
      </c>
      <c r="K49" s="17">
        <v>327914</v>
      </c>
    </row>
    <row r="50" spans="1:11" x14ac:dyDescent="0.25">
      <c r="A50" s="21" t="s">
        <v>617</v>
      </c>
      <c r="B50" s="17">
        <v>10360</v>
      </c>
      <c r="C50" s="17">
        <v>10207</v>
      </c>
      <c r="D50" s="17">
        <v>11170</v>
      </c>
      <c r="E50" s="17">
        <v>12131</v>
      </c>
      <c r="F50" s="17">
        <v>11756</v>
      </c>
      <c r="G50" s="17">
        <v>11703</v>
      </c>
      <c r="H50" s="17">
        <v>12027</v>
      </c>
      <c r="I50" s="17">
        <v>12148</v>
      </c>
      <c r="J50" s="17">
        <v>11945</v>
      </c>
      <c r="K50" s="17">
        <v>13000</v>
      </c>
    </row>
    <row r="51" spans="1:11" x14ac:dyDescent="0.25">
      <c r="A51" s="21" t="s">
        <v>25</v>
      </c>
      <c r="B51" s="16">
        <v>400</v>
      </c>
      <c r="C51" s="16">
        <v>428</v>
      </c>
      <c r="D51" s="16">
        <v>604</v>
      </c>
      <c r="E51" s="16">
        <v>991</v>
      </c>
      <c r="F51" s="17">
        <v>1375</v>
      </c>
      <c r="G51" s="16">
        <v>375</v>
      </c>
      <c r="H51" s="16">
        <v>3</v>
      </c>
      <c r="I51" s="17">
        <v>1544</v>
      </c>
      <c r="J51" s="17">
        <v>6421</v>
      </c>
      <c r="K51" s="17">
        <v>9054</v>
      </c>
    </row>
    <row r="52" spans="1:11" x14ac:dyDescent="0.25">
      <c r="A52" s="21" t="s">
        <v>26</v>
      </c>
      <c r="B52" s="17">
        <v>11497</v>
      </c>
      <c r="C52" s="17">
        <v>11430</v>
      </c>
      <c r="D52" s="17">
        <v>11620</v>
      </c>
      <c r="E52" s="17">
        <v>11093</v>
      </c>
      <c r="F52" s="17">
        <v>12509</v>
      </c>
      <c r="G52" s="17">
        <v>13805</v>
      </c>
      <c r="H52" s="17">
        <v>13475</v>
      </c>
      <c r="I52" s="17">
        <v>14996</v>
      </c>
      <c r="J52" s="17">
        <v>18839</v>
      </c>
      <c r="K52" s="17">
        <v>23272</v>
      </c>
    </row>
    <row r="53" spans="1:11" x14ac:dyDescent="0.25">
      <c r="B53" s="12"/>
      <c r="C53" s="12"/>
      <c r="D53" s="12"/>
      <c r="E53" s="12"/>
      <c r="F53" s="12"/>
      <c r="G53" s="12"/>
      <c r="H53" s="12"/>
      <c r="I53" s="12"/>
      <c r="J53" s="12"/>
      <c r="K53" s="12"/>
    </row>
    <row r="54" spans="1:11" ht="15.6" customHeight="1" x14ac:dyDescent="0.25">
      <c r="A54" s="28" t="s">
        <v>618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</row>
    <row r="55" spans="1:11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</row>
    <row r="56" spans="1:11" x14ac:dyDescent="0.25">
      <c r="A56" s="20" t="s">
        <v>0</v>
      </c>
      <c r="B56" s="9">
        <v>2015</v>
      </c>
      <c r="C56" s="9">
        <v>2016</v>
      </c>
      <c r="D56" s="9">
        <v>2017</v>
      </c>
      <c r="E56" s="9">
        <v>2018</v>
      </c>
      <c r="F56" s="9">
        <v>2019</v>
      </c>
      <c r="G56" s="9">
        <v>2020</v>
      </c>
      <c r="H56" s="9">
        <v>2021</v>
      </c>
      <c r="I56" s="9">
        <v>2022</v>
      </c>
      <c r="J56" s="9">
        <v>2023</v>
      </c>
      <c r="K56" s="9">
        <v>2024</v>
      </c>
    </row>
    <row r="57" spans="1:11" x14ac:dyDescent="0.25">
      <c r="A57" s="21" t="s">
        <v>3</v>
      </c>
      <c r="B57" s="16">
        <v>0.41</v>
      </c>
      <c r="C57" s="16">
        <v>0.4</v>
      </c>
      <c r="D57" s="16">
        <v>0.39</v>
      </c>
      <c r="E57" s="16">
        <v>0.44</v>
      </c>
      <c r="F57" s="16">
        <v>0.42</v>
      </c>
      <c r="G57" s="16">
        <v>0.52</v>
      </c>
      <c r="H57" s="16">
        <v>0.44</v>
      </c>
      <c r="I57" s="16">
        <v>0.46</v>
      </c>
      <c r="J57" s="16">
        <v>0.43</v>
      </c>
      <c r="K57" s="16">
        <v>0.46</v>
      </c>
    </row>
    <row r="58" spans="1:11" x14ac:dyDescent="0.25">
      <c r="A58" s="21" t="s">
        <v>7</v>
      </c>
      <c r="B58" s="16">
        <v>0.41</v>
      </c>
      <c r="C58" s="16">
        <v>0.4</v>
      </c>
      <c r="D58" s="16">
        <v>0.39</v>
      </c>
      <c r="E58" s="16">
        <v>0.44</v>
      </c>
      <c r="F58" s="16">
        <v>0.42</v>
      </c>
      <c r="G58" s="16">
        <v>0.52</v>
      </c>
      <c r="H58" s="16">
        <v>0.44</v>
      </c>
      <c r="I58" s="16">
        <v>0.46</v>
      </c>
      <c r="J58" s="16">
        <v>0.43</v>
      </c>
      <c r="K58" s="16">
        <v>0.46</v>
      </c>
    </row>
    <row r="59" spans="1:11" x14ac:dyDescent="0.25">
      <c r="A59" s="21" t="s">
        <v>9</v>
      </c>
      <c r="B59" s="16">
        <v>0.4</v>
      </c>
      <c r="C59" s="16">
        <v>0.39</v>
      </c>
      <c r="D59" s="16">
        <v>0.37</v>
      </c>
      <c r="E59" s="16">
        <v>0.42</v>
      </c>
      <c r="F59" s="16">
        <v>0.4</v>
      </c>
      <c r="G59" s="16">
        <v>0.5</v>
      </c>
      <c r="H59" s="16">
        <v>0.43</v>
      </c>
      <c r="I59" s="16">
        <v>0.45</v>
      </c>
      <c r="J59" s="16">
        <v>0.41</v>
      </c>
      <c r="K59" s="16">
        <v>0.44</v>
      </c>
    </row>
    <row r="60" spans="1:11" ht="28.8" customHeight="1" x14ac:dyDescent="0.25">
      <c r="A60" s="21" t="s">
        <v>13</v>
      </c>
      <c r="B60" s="16">
        <v>0.63</v>
      </c>
      <c r="C60" s="16">
        <v>0.61</v>
      </c>
      <c r="D60" s="16">
        <v>0.56999999999999995</v>
      </c>
      <c r="E60" s="16">
        <v>0.56999999999999995</v>
      </c>
      <c r="F60" s="16">
        <v>0.55000000000000004</v>
      </c>
      <c r="G60" s="16">
        <v>0.55000000000000004</v>
      </c>
      <c r="H60" s="16">
        <v>0.5</v>
      </c>
      <c r="I60" s="16">
        <v>0.68</v>
      </c>
      <c r="J60" s="16">
        <v>0.95</v>
      </c>
      <c r="K60" s="16">
        <v>1.31</v>
      </c>
    </row>
    <row r="61" spans="1:11" x14ac:dyDescent="0.25">
      <c r="A61" s="21" t="s">
        <v>15</v>
      </c>
      <c r="B61" s="16">
        <v>0.05</v>
      </c>
      <c r="C61" s="16">
        <v>0.05</v>
      </c>
      <c r="D61" s="16">
        <v>0.05</v>
      </c>
      <c r="E61" s="16">
        <v>0.06</v>
      </c>
      <c r="F61" s="16">
        <v>0.05</v>
      </c>
      <c r="G61" s="16">
        <v>0.05</v>
      </c>
      <c r="H61" s="16">
        <v>0.04</v>
      </c>
      <c r="I61" s="16">
        <v>0.06</v>
      </c>
      <c r="J61" s="16">
        <v>0.08</v>
      </c>
      <c r="K61" s="16">
        <v>0.09</v>
      </c>
    </row>
    <row r="62" spans="1:11" ht="25.2" customHeight="1" x14ac:dyDescent="0.25">
      <c r="A62" s="21" t="s">
        <v>17</v>
      </c>
      <c r="B62" s="16">
        <v>82.67</v>
      </c>
      <c r="C62" s="16">
        <v>94.55</v>
      </c>
      <c r="D62" s="16">
        <v>101.26</v>
      </c>
      <c r="E62" s="16">
        <v>96.39</v>
      </c>
      <c r="F62" s="16">
        <v>100.31</v>
      </c>
      <c r="G62" s="16">
        <v>96.85</v>
      </c>
      <c r="H62" s="16">
        <v>99.53</v>
      </c>
      <c r="I62" s="16">
        <v>103.19</v>
      </c>
      <c r="J62" s="16">
        <v>116.28</v>
      </c>
      <c r="K62" s="16">
        <v>113.27</v>
      </c>
    </row>
    <row r="63" spans="1:11" x14ac:dyDescent="0.25">
      <c r="A63" s="21" t="s">
        <v>18</v>
      </c>
      <c r="B63" s="16">
        <v>0.09</v>
      </c>
      <c r="C63" s="16">
        <v>0.1</v>
      </c>
      <c r="D63" s="16">
        <v>0.1</v>
      </c>
      <c r="E63" s="16">
        <v>0.1</v>
      </c>
      <c r="F63" s="16">
        <v>0.09</v>
      </c>
      <c r="G63" s="16">
        <v>0.09</v>
      </c>
      <c r="H63" s="16">
        <v>0.1</v>
      </c>
      <c r="I63" s="16">
        <v>0.11</v>
      </c>
      <c r="J63" s="16">
        <v>0.08</v>
      </c>
      <c r="K63" s="16">
        <v>0.11</v>
      </c>
    </row>
    <row r="64" spans="1:11" x14ac:dyDescent="0.25">
      <c r="A64" s="21" t="s">
        <v>19</v>
      </c>
      <c r="B64" s="16">
        <v>8.0000000000000002E-3</v>
      </c>
      <c r="C64" s="16">
        <v>8.9999999999999993E-3</v>
      </c>
      <c r="D64" s="16">
        <v>8.9999999999999993E-3</v>
      </c>
      <c r="E64" s="16">
        <v>1.0999999999999999E-2</v>
      </c>
      <c r="F64" s="16">
        <v>8.9999999999999993E-3</v>
      </c>
      <c r="G64" s="16">
        <v>8.0000000000000002E-3</v>
      </c>
      <c r="H64" s="16">
        <v>8.9999999999999993E-3</v>
      </c>
      <c r="I64" s="16">
        <v>8.9999999999999993E-3</v>
      </c>
      <c r="J64" s="16">
        <v>7.0000000000000001E-3</v>
      </c>
      <c r="K64" s="16">
        <v>8.0000000000000002E-3</v>
      </c>
    </row>
    <row r="65" spans="1:11" x14ac:dyDescent="0.25">
      <c r="A65" s="21" t="s">
        <v>21</v>
      </c>
      <c r="B65" s="16">
        <v>0.19</v>
      </c>
      <c r="C65" s="16">
        <v>0.21</v>
      </c>
      <c r="D65" s="16">
        <v>0.19</v>
      </c>
      <c r="E65" s="16">
        <v>0.21</v>
      </c>
      <c r="F65" s="16">
        <v>0.19</v>
      </c>
      <c r="G65" s="16">
        <v>0.21</v>
      </c>
      <c r="H65" s="16">
        <v>0.22</v>
      </c>
      <c r="I65" s="16">
        <v>0.23</v>
      </c>
      <c r="J65" s="16">
        <v>0.16</v>
      </c>
      <c r="K65" s="16">
        <v>0.21</v>
      </c>
    </row>
    <row r="66" spans="1:11" x14ac:dyDescent="0.25">
      <c r="A66" s="21" t="s">
        <v>22</v>
      </c>
      <c r="B66" s="18">
        <v>9.3699999999999992</v>
      </c>
      <c r="C66" s="18">
        <v>10.1</v>
      </c>
      <c r="D66" s="18">
        <v>9.76</v>
      </c>
      <c r="E66" s="18">
        <v>10.46</v>
      </c>
      <c r="F66" s="18">
        <v>9.18</v>
      </c>
      <c r="G66" s="18">
        <v>9.24</v>
      </c>
      <c r="H66" s="18">
        <v>9.84</v>
      </c>
      <c r="I66" s="18">
        <v>11.01</v>
      </c>
      <c r="J66" s="18">
        <v>8.17</v>
      </c>
      <c r="K66" s="18">
        <v>10.61</v>
      </c>
    </row>
  </sheetData>
  <mergeCells count="7">
    <mergeCell ref="A54:K55"/>
    <mergeCell ref="A1:K1"/>
    <mergeCell ref="A14:K15"/>
    <mergeCell ref="A3:K4"/>
    <mergeCell ref="A25:K26"/>
    <mergeCell ref="A32:K33"/>
    <mergeCell ref="A44:K45"/>
  </mergeCells>
  <pageMargins left="1" right="1" top="1" bottom="1" header="0.5" footer="0.5"/>
  <pageSetup orientation="landscape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C31C5-6B47-49E6-9B1A-D0F0E438ED5C}">
  <dimension ref="A1:P77"/>
  <sheetViews>
    <sheetView workbookViewId="0">
      <selection activeCell="B4" sqref="B4:K48"/>
    </sheetView>
  </sheetViews>
  <sheetFormatPr defaultRowHeight="14.4" x14ac:dyDescent="0.3"/>
  <cols>
    <col min="1" max="1" width="17.33203125" style="23" customWidth="1"/>
    <col min="2" max="2" width="7.33203125" customWidth="1"/>
    <col min="11" max="11" width="8.21875" customWidth="1"/>
  </cols>
  <sheetData>
    <row r="1" spans="1:16" ht="26.4" customHeight="1" x14ac:dyDescent="0.3">
      <c r="A1" s="29" t="s">
        <v>654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6" ht="39.6" customHeight="1" x14ac:dyDescent="0.3">
      <c r="A2" s="29" t="s">
        <v>651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1"/>
      <c r="M2" s="1"/>
      <c r="N2" s="1"/>
      <c r="O2" s="1"/>
      <c r="P2" s="1"/>
    </row>
    <row r="3" spans="1:16" ht="39.6" customHeight="1" x14ac:dyDescent="0.3">
      <c r="A3" s="2" t="s">
        <v>27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1"/>
      <c r="M3" s="1"/>
      <c r="N3" s="1"/>
      <c r="O3" s="1"/>
      <c r="P3" s="1"/>
    </row>
    <row r="4" spans="1:16" ht="36" customHeight="1" x14ac:dyDescent="0.3">
      <c r="A4" s="3" t="s">
        <v>28</v>
      </c>
      <c r="B4" s="11">
        <v>2024</v>
      </c>
      <c r="C4" s="11">
        <v>2023</v>
      </c>
      <c r="D4" s="11">
        <v>2022</v>
      </c>
      <c r="E4" s="11">
        <v>2021</v>
      </c>
      <c r="F4" s="11">
        <v>2020</v>
      </c>
      <c r="G4" s="11">
        <v>2019</v>
      </c>
      <c r="H4" s="11">
        <v>2018</v>
      </c>
      <c r="I4" s="11">
        <v>2017</v>
      </c>
      <c r="J4" s="11">
        <v>2016</v>
      </c>
      <c r="K4" s="11">
        <v>2015</v>
      </c>
    </row>
    <row r="5" spans="1:16" x14ac:dyDescent="0.3">
      <c r="A5" s="2" t="s">
        <v>410</v>
      </c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16" ht="25.8" customHeight="1" x14ac:dyDescent="0.3">
      <c r="A6" s="3" t="s">
        <v>411</v>
      </c>
      <c r="B6" s="25" t="s">
        <v>412</v>
      </c>
      <c r="C6" s="25" t="s">
        <v>353</v>
      </c>
      <c r="D6" s="25" t="s">
        <v>503</v>
      </c>
      <c r="E6" s="25" t="s">
        <v>351</v>
      </c>
      <c r="F6" s="25" t="s">
        <v>553</v>
      </c>
      <c r="G6" s="25" t="s">
        <v>379</v>
      </c>
      <c r="H6" s="25">
        <v>3597</v>
      </c>
      <c r="I6" s="25">
        <v>2107</v>
      </c>
      <c r="J6" s="25">
        <v>1314</v>
      </c>
      <c r="K6" s="25">
        <v>1207</v>
      </c>
    </row>
    <row r="7" spans="1:16" ht="14.4" customHeight="1" x14ac:dyDescent="0.3">
      <c r="A7" s="3" t="s">
        <v>413</v>
      </c>
      <c r="B7" s="25" t="s">
        <v>414</v>
      </c>
      <c r="C7" s="25" t="s">
        <v>415</v>
      </c>
      <c r="D7" s="25" t="s">
        <v>504</v>
      </c>
      <c r="E7" s="25" t="s">
        <v>505</v>
      </c>
      <c r="F7" s="25" t="s">
        <v>554</v>
      </c>
      <c r="G7" s="25" t="s">
        <v>555</v>
      </c>
      <c r="H7" s="25">
        <v>73040</v>
      </c>
      <c r="I7" s="25">
        <v>67227</v>
      </c>
      <c r="J7" s="25">
        <v>70935</v>
      </c>
      <c r="K7" s="25">
        <v>75338</v>
      </c>
    </row>
    <row r="8" spans="1:16" ht="51" customHeight="1" x14ac:dyDescent="0.3">
      <c r="A8" s="3" t="s">
        <v>416</v>
      </c>
      <c r="B8" s="25" t="s">
        <v>417</v>
      </c>
      <c r="C8" s="25" t="s">
        <v>418</v>
      </c>
      <c r="D8" s="25" t="s">
        <v>506</v>
      </c>
      <c r="E8" s="25" t="s">
        <v>507</v>
      </c>
      <c r="F8" s="25" t="s">
        <v>556</v>
      </c>
      <c r="G8" s="25" t="s">
        <v>557</v>
      </c>
      <c r="H8" s="25">
        <v>4679</v>
      </c>
      <c r="I8" s="25">
        <v>3241</v>
      </c>
      <c r="J8" s="25">
        <v>1956</v>
      </c>
      <c r="K8" s="25">
        <v>3404</v>
      </c>
    </row>
    <row r="9" spans="1:16" ht="22.8" x14ac:dyDescent="0.3">
      <c r="A9" s="3" t="s">
        <v>419</v>
      </c>
      <c r="B9" s="25" t="s">
        <v>420</v>
      </c>
      <c r="C9" s="25" t="s">
        <v>421</v>
      </c>
      <c r="D9" s="25" t="s">
        <v>508</v>
      </c>
      <c r="E9" s="25" t="s">
        <v>509</v>
      </c>
      <c r="F9" s="25" t="s">
        <v>558</v>
      </c>
      <c r="G9" s="25" t="s">
        <v>559</v>
      </c>
      <c r="H9" s="25">
        <v>860</v>
      </c>
      <c r="I9" s="25">
        <v>1093</v>
      </c>
      <c r="J9" s="25">
        <v>1024</v>
      </c>
      <c r="K9" s="25">
        <v>849</v>
      </c>
    </row>
    <row r="10" spans="1:16" ht="34.200000000000003" customHeight="1" x14ac:dyDescent="0.3">
      <c r="A10" s="3" t="s">
        <v>607</v>
      </c>
      <c r="B10" s="25" t="s">
        <v>422</v>
      </c>
      <c r="C10" s="25" t="s">
        <v>423</v>
      </c>
      <c r="D10" s="25" t="s">
        <v>510</v>
      </c>
      <c r="E10" s="25" t="s">
        <v>511</v>
      </c>
      <c r="F10" s="25" t="s">
        <v>560</v>
      </c>
      <c r="G10" s="25" t="s">
        <v>561</v>
      </c>
      <c r="H10" s="25">
        <v>45148</v>
      </c>
      <c r="I10" s="25">
        <v>57121</v>
      </c>
      <c r="J10" s="25">
        <v>61998</v>
      </c>
      <c r="K10" s="25">
        <v>70070</v>
      </c>
    </row>
    <row r="11" spans="1:16" ht="57" customHeight="1" x14ac:dyDescent="0.3">
      <c r="A11" s="3" t="s">
        <v>609</v>
      </c>
      <c r="B11" s="25" t="s">
        <v>188</v>
      </c>
      <c r="C11" s="25" t="s">
        <v>188</v>
      </c>
      <c r="D11" s="25" t="s">
        <v>188</v>
      </c>
      <c r="E11" s="25" t="s">
        <v>188</v>
      </c>
      <c r="F11" s="25" t="s">
        <v>562</v>
      </c>
      <c r="G11" s="25" t="s">
        <v>188</v>
      </c>
      <c r="H11" s="25" t="s">
        <v>188</v>
      </c>
      <c r="I11" s="25" t="s">
        <v>188</v>
      </c>
      <c r="J11" s="25" t="s">
        <v>188</v>
      </c>
      <c r="K11" s="25" t="s">
        <v>188</v>
      </c>
    </row>
    <row r="12" spans="1:16" ht="30.6" customHeight="1" x14ac:dyDescent="0.3">
      <c r="A12" s="3" t="s">
        <v>608</v>
      </c>
      <c r="B12" s="25" t="s">
        <v>424</v>
      </c>
      <c r="C12" s="25" t="s">
        <v>425</v>
      </c>
      <c r="D12" s="25" t="s">
        <v>512</v>
      </c>
      <c r="E12" s="25" t="s">
        <v>513</v>
      </c>
      <c r="F12" s="25" t="s">
        <v>563</v>
      </c>
      <c r="G12" s="25" t="s">
        <v>564</v>
      </c>
      <c r="H12" s="25">
        <v>41914</v>
      </c>
      <c r="I12" s="25">
        <v>40458</v>
      </c>
      <c r="J12" s="25">
        <v>35169</v>
      </c>
      <c r="K12" s="25">
        <v>29952</v>
      </c>
    </row>
    <row r="13" spans="1:16" ht="22.8" customHeight="1" x14ac:dyDescent="0.3">
      <c r="A13" s="3" t="s">
        <v>656</v>
      </c>
      <c r="B13" s="25" t="s">
        <v>426</v>
      </c>
      <c r="C13" s="25" t="s">
        <v>427</v>
      </c>
      <c r="D13" s="25" t="s">
        <v>514</v>
      </c>
      <c r="E13" s="25" t="s">
        <v>515</v>
      </c>
      <c r="F13" s="25" t="s">
        <v>565</v>
      </c>
      <c r="G13" s="25" t="s">
        <v>566</v>
      </c>
      <c r="H13" s="25">
        <v>25722</v>
      </c>
      <c r="I13" s="25">
        <v>23240</v>
      </c>
      <c r="J13" s="25">
        <v>19704</v>
      </c>
      <c r="K13" s="25">
        <v>18753</v>
      </c>
    </row>
    <row r="14" spans="1:16" ht="34.200000000000003" customHeight="1" x14ac:dyDescent="0.3">
      <c r="A14" s="3" t="s">
        <v>657</v>
      </c>
      <c r="B14" s="25" t="s">
        <v>428</v>
      </c>
      <c r="C14" s="25" t="s">
        <v>429</v>
      </c>
      <c r="D14" s="25" t="s">
        <v>516</v>
      </c>
      <c r="E14" s="25" t="s">
        <v>517</v>
      </c>
      <c r="F14" s="25" t="s">
        <v>567</v>
      </c>
      <c r="G14" s="25" t="s">
        <v>568</v>
      </c>
      <c r="H14" s="25">
        <v>2214</v>
      </c>
      <c r="I14" s="25">
        <v>2186</v>
      </c>
      <c r="J14" s="25">
        <v>2062</v>
      </c>
      <c r="K14" s="25">
        <v>1894</v>
      </c>
    </row>
    <row r="15" spans="1:16" ht="22.8" customHeight="1" x14ac:dyDescent="0.3">
      <c r="A15" s="3" t="s">
        <v>430</v>
      </c>
      <c r="B15" s="25" t="s">
        <v>431</v>
      </c>
      <c r="C15" s="25" t="s">
        <v>432</v>
      </c>
      <c r="D15" s="25" t="s">
        <v>518</v>
      </c>
      <c r="E15" s="25" t="s">
        <v>519</v>
      </c>
      <c r="F15" s="25" t="s">
        <v>569</v>
      </c>
      <c r="G15" s="25" t="s">
        <v>570</v>
      </c>
      <c r="H15" s="25">
        <v>3203</v>
      </c>
      <c r="I15" s="25">
        <v>3099</v>
      </c>
      <c r="J15" s="25">
        <v>2644</v>
      </c>
      <c r="K15" s="25">
        <v>2346</v>
      </c>
    </row>
    <row r="16" spans="1:16" ht="26.4" customHeight="1" x14ac:dyDescent="0.3">
      <c r="A16" s="3" t="s">
        <v>433</v>
      </c>
      <c r="B16" s="25" t="s">
        <v>434</v>
      </c>
      <c r="C16" s="25" t="s">
        <v>435</v>
      </c>
      <c r="D16" s="25" t="s">
        <v>520</v>
      </c>
      <c r="E16" s="25" t="s">
        <v>521</v>
      </c>
      <c r="F16" s="25" t="s">
        <v>571</v>
      </c>
      <c r="G16" s="25" t="s">
        <v>572</v>
      </c>
      <c r="H16" s="25">
        <v>7446</v>
      </c>
      <c r="I16" s="25">
        <v>6022</v>
      </c>
      <c r="J16" s="25">
        <v>5814</v>
      </c>
      <c r="K16" s="25">
        <v>5671</v>
      </c>
    </row>
    <row r="17" spans="1:11" ht="18" customHeight="1" x14ac:dyDescent="0.3">
      <c r="A17" s="3" t="s">
        <v>436</v>
      </c>
      <c r="B17" s="25" t="s">
        <v>437</v>
      </c>
      <c r="C17" s="25" t="s">
        <v>438</v>
      </c>
      <c r="D17" s="25" t="s">
        <v>522</v>
      </c>
      <c r="E17" s="25" t="s">
        <v>523</v>
      </c>
      <c r="F17" s="25" t="s">
        <v>573</v>
      </c>
      <c r="G17" s="25" t="s">
        <v>574</v>
      </c>
      <c r="H17" s="25">
        <v>2369</v>
      </c>
      <c r="I17" s="25">
        <v>1613</v>
      </c>
      <c r="J17" s="25">
        <v>1750</v>
      </c>
      <c r="K17" s="25">
        <v>1768</v>
      </c>
    </row>
    <row r="18" spans="1:11" x14ac:dyDescent="0.3">
      <c r="A18" s="3" t="s">
        <v>439</v>
      </c>
      <c r="B18" s="25" t="s">
        <v>440</v>
      </c>
      <c r="C18" s="25" t="s">
        <v>441</v>
      </c>
      <c r="D18" s="25" t="s">
        <v>524</v>
      </c>
      <c r="E18" s="25" t="s">
        <v>525</v>
      </c>
      <c r="F18" s="25" t="s">
        <v>575</v>
      </c>
      <c r="G18" s="25" t="s">
        <v>576</v>
      </c>
      <c r="H18" s="25">
        <v>34434</v>
      </c>
      <c r="I18" s="25">
        <v>31018</v>
      </c>
      <c r="J18" s="25">
        <v>38328</v>
      </c>
      <c r="K18" s="25">
        <v>33903</v>
      </c>
    </row>
    <row r="19" spans="1:11" ht="25.8" customHeight="1" x14ac:dyDescent="0.3">
      <c r="A19" s="2" t="s">
        <v>442</v>
      </c>
      <c r="B19" s="25" t="s">
        <v>443</v>
      </c>
      <c r="C19" s="25" t="s">
        <v>444</v>
      </c>
      <c r="D19" s="25" t="s">
        <v>526</v>
      </c>
      <c r="E19" s="25">
        <v>314624</v>
      </c>
      <c r="F19" s="25" t="s">
        <v>577</v>
      </c>
      <c r="G19" s="25" t="s">
        <v>578</v>
      </c>
      <c r="H19" s="25">
        <v>244626</v>
      </c>
      <c r="I19" s="25">
        <v>238425</v>
      </c>
      <c r="J19" s="25">
        <v>242698</v>
      </c>
      <c r="K19" s="25">
        <v>245155</v>
      </c>
    </row>
    <row r="20" spans="1:11" ht="18.600000000000001" customHeight="1" x14ac:dyDescent="0.3">
      <c r="A20" s="2" t="s">
        <v>445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</row>
    <row r="21" spans="1:11" ht="22.2" customHeight="1" x14ac:dyDescent="0.3">
      <c r="A21" s="3" t="s">
        <v>446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spans="1:11" ht="31.2" customHeight="1" x14ac:dyDescent="0.3">
      <c r="A22" s="3" t="s">
        <v>447</v>
      </c>
      <c r="B22" s="25" t="s">
        <v>448</v>
      </c>
      <c r="C22" s="25" t="s">
        <v>449</v>
      </c>
      <c r="D22" s="25" t="s">
        <v>527</v>
      </c>
      <c r="E22" s="25">
        <v>56461</v>
      </c>
      <c r="F22" s="25" t="s">
        <v>579</v>
      </c>
      <c r="G22" s="25" t="s">
        <v>580</v>
      </c>
      <c r="H22" s="25">
        <v>44804</v>
      </c>
      <c r="I22" s="25">
        <v>47175</v>
      </c>
      <c r="J22" s="25">
        <v>59397</v>
      </c>
      <c r="K22" s="25">
        <v>65800</v>
      </c>
    </row>
    <row r="23" spans="1:11" x14ac:dyDescent="0.3">
      <c r="A23" s="3" t="s">
        <v>450</v>
      </c>
      <c r="B23" s="25" t="s">
        <v>451</v>
      </c>
      <c r="C23" s="25" t="s">
        <v>452</v>
      </c>
      <c r="D23" s="25" t="s">
        <v>528</v>
      </c>
      <c r="E23" s="25" t="s">
        <v>529</v>
      </c>
      <c r="F23" s="25" t="s">
        <v>581</v>
      </c>
      <c r="G23" s="25" t="s">
        <v>582</v>
      </c>
      <c r="H23" s="25">
        <v>66235</v>
      </c>
      <c r="I23" s="25">
        <v>50139</v>
      </c>
      <c r="J23" s="25">
        <v>30911</v>
      </c>
      <c r="K23" s="25">
        <v>29958</v>
      </c>
    </row>
    <row r="24" spans="1:11" ht="15" customHeight="1" x14ac:dyDescent="0.3">
      <c r="A24" s="3" t="s">
        <v>453</v>
      </c>
      <c r="B24" s="25" t="s">
        <v>454</v>
      </c>
      <c r="C24" s="25" t="s">
        <v>455</v>
      </c>
      <c r="D24" s="25" t="s">
        <v>530</v>
      </c>
      <c r="E24" s="25" t="s">
        <v>531</v>
      </c>
      <c r="F24" s="25" t="s">
        <v>583</v>
      </c>
      <c r="G24" s="25" t="s">
        <v>584</v>
      </c>
      <c r="H24" s="25">
        <v>69321</v>
      </c>
      <c r="I24" s="25">
        <v>87582</v>
      </c>
      <c r="J24" s="25">
        <v>96855</v>
      </c>
      <c r="K24" s="25">
        <v>95869</v>
      </c>
    </row>
    <row r="25" spans="1:11" ht="14.4" customHeight="1" x14ac:dyDescent="0.3">
      <c r="A25" s="3" t="s">
        <v>456</v>
      </c>
      <c r="B25" s="25" t="s">
        <v>457</v>
      </c>
      <c r="C25" s="25" t="s">
        <v>458</v>
      </c>
      <c r="D25" s="25" t="s">
        <v>532</v>
      </c>
      <c r="E25" s="25" t="s">
        <v>533</v>
      </c>
      <c r="F25" s="25" t="s">
        <v>585</v>
      </c>
      <c r="G25" s="25" t="s">
        <v>586</v>
      </c>
      <c r="H25" s="25">
        <v>180360</v>
      </c>
      <c r="I25" s="25">
        <v>184896</v>
      </c>
      <c r="J25" s="25">
        <v>187163</v>
      </c>
      <c r="K25" s="25">
        <v>191627</v>
      </c>
    </row>
    <row r="26" spans="1:11" ht="22.8" customHeight="1" x14ac:dyDescent="0.3">
      <c r="A26" s="3" t="s">
        <v>459</v>
      </c>
      <c r="B26" s="25" t="s">
        <v>460</v>
      </c>
      <c r="C26" s="25" t="s">
        <v>461</v>
      </c>
      <c r="D26" s="25" t="s">
        <v>534</v>
      </c>
      <c r="E26" s="25" t="s">
        <v>535</v>
      </c>
      <c r="F26" s="25" t="s">
        <v>587</v>
      </c>
      <c r="G26" s="25" t="s">
        <v>588</v>
      </c>
      <c r="H26" s="25">
        <v>1082</v>
      </c>
      <c r="I26" s="25">
        <v>2842</v>
      </c>
      <c r="J26" s="25">
        <v>4400</v>
      </c>
      <c r="K26" s="25">
        <v>4499</v>
      </c>
    </row>
    <row r="27" spans="1:11" ht="22.8" customHeight="1" x14ac:dyDescent="0.3">
      <c r="A27" s="3" t="s">
        <v>610</v>
      </c>
      <c r="B27" s="25" t="s">
        <v>188</v>
      </c>
      <c r="C27" s="25" t="s">
        <v>188</v>
      </c>
      <c r="D27" s="25" t="s">
        <v>188</v>
      </c>
      <c r="E27" s="25" t="s">
        <v>188</v>
      </c>
      <c r="F27" s="25" t="s">
        <v>589</v>
      </c>
      <c r="G27" s="25" t="s">
        <v>188</v>
      </c>
      <c r="H27" s="25" t="s">
        <v>188</v>
      </c>
      <c r="I27" s="25" t="s">
        <v>188</v>
      </c>
      <c r="J27" s="25" t="s">
        <v>188</v>
      </c>
      <c r="K27" s="25" t="s">
        <v>188</v>
      </c>
    </row>
    <row r="28" spans="1:11" ht="22.8" customHeight="1" x14ac:dyDescent="0.3">
      <c r="A28" s="3" t="s">
        <v>462</v>
      </c>
      <c r="B28" s="25" t="s">
        <v>463</v>
      </c>
      <c r="C28" s="25" t="s">
        <v>464</v>
      </c>
      <c r="D28" s="25" t="s">
        <v>536</v>
      </c>
      <c r="E28" s="25" t="s">
        <v>537</v>
      </c>
      <c r="F28" s="25" t="s">
        <v>590</v>
      </c>
      <c r="G28" s="25" t="s">
        <v>591</v>
      </c>
      <c r="H28" s="25">
        <v>3092</v>
      </c>
      <c r="I28" s="25">
        <v>1144</v>
      </c>
      <c r="J28" s="25">
        <v>1585</v>
      </c>
      <c r="K28" s="25">
        <v>1754</v>
      </c>
    </row>
    <row r="29" spans="1:11" ht="22.8" customHeight="1" x14ac:dyDescent="0.3">
      <c r="A29" s="3" t="s">
        <v>465</v>
      </c>
      <c r="B29" s="25" t="s">
        <v>466</v>
      </c>
      <c r="C29" s="25" t="s">
        <v>467</v>
      </c>
      <c r="D29" s="25" t="s">
        <v>538</v>
      </c>
      <c r="E29" s="25" t="s">
        <v>539</v>
      </c>
      <c r="F29" s="25" t="s">
        <v>592</v>
      </c>
      <c r="G29" s="25" t="s">
        <v>593</v>
      </c>
      <c r="H29" s="25">
        <v>24209</v>
      </c>
      <c r="I29" s="25">
        <v>15606</v>
      </c>
      <c r="J29" s="25">
        <v>16901</v>
      </c>
      <c r="K29" s="25">
        <v>14643</v>
      </c>
    </row>
    <row r="30" spans="1:11" x14ac:dyDescent="0.3">
      <c r="A30" s="3" t="s">
        <v>468</v>
      </c>
      <c r="B30" s="25" t="s">
        <v>469</v>
      </c>
      <c r="C30" s="25" t="s">
        <v>470</v>
      </c>
      <c r="D30" s="25" t="s">
        <v>540</v>
      </c>
      <c r="E30" s="25" t="s">
        <v>541</v>
      </c>
      <c r="F30" s="25" t="s">
        <v>594</v>
      </c>
      <c r="G30" s="25" t="s">
        <v>595</v>
      </c>
      <c r="H30" s="25">
        <v>11093</v>
      </c>
      <c r="I30" s="25">
        <v>11620</v>
      </c>
      <c r="J30" s="25">
        <v>11430</v>
      </c>
      <c r="K30" s="25">
        <v>11497</v>
      </c>
    </row>
    <row r="31" spans="1:11" ht="22.8" customHeight="1" x14ac:dyDescent="0.3">
      <c r="A31" s="2" t="s">
        <v>471</v>
      </c>
      <c r="B31" s="25" t="s">
        <v>472</v>
      </c>
      <c r="C31" s="25" t="s">
        <v>473</v>
      </c>
      <c r="D31" s="25" t="s">
        <v>542</v>
      </c>
      <c r="E31" s="25" t="s">
        <v>543</v>
      </c>
      <c r="F31" s="25" t="s">
        <v>596</v>
      </c>
      <c r="G31" s="25" t="s">
        <v>597</v>
      </c>
      <c r="H31" s="25">
        <v>219836</v>
      </c>
      <c r="I31" s="25">
        <v>216108</v>
      </c>
      <c r="J31" s="25">
        <v>221479</v>
      </c>
      <c r="K31" s="25">
        <v>224020</v>
      </c>
    </row>
    <row r="32" spans="1:11" ht="22.2" customHeight="1" x14ac:dyDescent="0.3">
      <c r="A32" s="2" t="s">
        <v>474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spans="1:11" ht="34.200000000000003" customHeight="1" x14ac:dyDescent="0.3">
      <c r="A33" s="3" t="s">
        <v>475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spans="1:11" ht="22.8" customHeight="1" x14ac:dyDescent="0.3">
      <c r="A34" s="3" t="s">
        <v>598</v>
      </c>
      <c r="B34" s="25" t="s">
        <v>188</v>
      </c>
      <c r="C34" s="25" t="s">
        <v>188</v>
      </c>
      <c r="D34" s="25" t="s">
        <v>188</v>
      </c>
      <c r="E34" s="25" t="s">
        <v>188</v>
      </c>
      <c r="F34" s="25" t="s">
        <v>188</v>
      </c>
      <c r="G34" s="25" t="s">
        <v>599</v>
      </c>
      <c r="H34" s="25">
        <v>491</v>
      </c>
      <c r="I34" s="25">
        <v>491</v>
      </c>
      <c r="J34" s="25">
        <v>491</v>
      </c>
      <c r="K34" s="25">
        <v>491</v>
      </c>
    </row>
    <row r="35" spans="1:11" ht="22.8" customHeight="1" x14ac:dyDescent="0.3">
      <c r="A35" s="3" t="s">
        <v>476</v>
      </c>
      <c r="B35" s="25" t="s">
        <v>97</v>
      </c>
      <c r="C35" s="25" t="s">
        <v>477</v>
      </c>
      <c r="D35" s="25" t="s">
        <v>544</v>
      </c>
      <c r="E35" s="25" t="s">
        <v>477</v>
      </c>
      <c r="F35" s="25" t="s">
        <v>544</v>
      </c>
      <c r="G35" s="25" t="s">
        <v>477</v>
      </c>
      <c r="H35" s="25">
        <v>742</v>
      </c>
      <c r="I35" s="25">
        <v>742</v>
      </c>
      <c r="J35" s="25">
        <v>742</v>
      </c>
      <c r="K35" s="25">
        <v>742</v>
      </c>
    </row>
    <row r="36" spans="1:11" ht="22.8" customHeight="1" x14ac:dyDescent="0.3">
      <c r="A36" s="3" t="s">
        <v>611</v>
      </c>
      <c r="B36" s="25" t="s">
        <v>188</v>
      </c>
      <c r="C36" s="25" t="s">
        <v>188</v>
      </c>
      <c r="D36" s="25" t="s">
        <v>188</v>
      </c>
      <c r="E36" s="25" t="s">
        <v>188</v>
      </c>
      <c r="F36" s="25" t="s">
        <v>188</v>
      </c>
      <c r="G36" s="25" t="s">
        <v>188</v>
      </c>
      <c r="H36" s="25">
        <v>728</v>
      </c>
      <c r="I36" s="25">
        <v>728</v>
      </c>
      <c r="J36" s="25">
        <v>728</v>
      </c>
      <c r="K36" s="25">
        <v>728</v>
      </c>
    </row>
    <row r="37" spans="1:11" ht="22.8" customHeight="1" x14ac:dyDescent="0.3">
      <c r="A37" s="3" t="s">
        <v>478</v>
      </c>
      <c r="B37" s="25" t="s">
        <v>97</v>
      </c>
      <c r="C37" s="25" t="s">
        <v>479</v>
      </c>
      <c r="D37" s="25" t="s">
        <v>545</v>
      </c>
      <c r="E37" s="25" t="s">
        <v>479</v>
      </c>
      <c r="F37" s="25" t="s">
        <v>544</v>
      </c>
      <c r="G37" s="25" t="s">
        <v>477</v>
      </c>
      <c r="H37" s="25">
        <v>742</v>
      </c>
      <c r="I37" s="25">
        <v>742</v>
      </c>
      <c r="J37" s="25">
        <v>742</v>
      </c>
      <c r="K37" s="25">
        <v>742</v>
      </c>
    </row>
    <row r="38" spans="1:11" ht="22.8" customHeight="1" x14ac:dyDescent="0.3">
      <c r="A38" s="3" t="s">
        <v>480</v>
      </c>
      <c r="B38" s="25" t="s">
        <v>481</v>
      </c>
      <c r="C38" s="25" t="s">
        <v>482</v>
      </c>
      <c r="D38" s="25" t="s">
        <v>481</v>
      </c>
      <c r="E38" s="25" t="s">
        <v>482</v>
      </c>
      <c r="F38" s="25" t="s">
        <v>481</v>
      </c>
      <c r="G38" s="25" t="s">
        <v>482</v>
      </c>
      <c r="H38" s="25">
        <v>493</v>
      </c>
      <c r="I38" s="25">
        <v>493</v>
      </c>
      <c r="J38" s="25">
        <v>493</v>
      </c>
      <c r="K38" s="25" t="s">
        <v>295</v>
      </c>
    </row>
    <row r="39" spans="1:11" ht="34.200000000000003" customHeight="1" x14ac:dyDescent="0.3">
      <c r="A39" s="3" t="s">
        <v>483</v>
      </c>
      <c r="B39" s="25" t="s">
        <v>97</v>
      </c>
      <c r="C39" s="25" t="s">
        <v>484</v>
      </c>
      <c r="D39" s="25" t="s">
        <v>546</v>
      </c>
      <c r="E39" s="25" t="s">
        <v>484</v>
      </c>
      <c r="F39" s="25" t="s">
        <v>546</v>
      </c>
      <c r="G39" s="25" t="s">
        <v>484</v>
      </c>
      <c r="H39" s="25">
        <v>494</v>
      </c>
      <c r="I39" s="25" t="s">
        <v>295</v>
      </c>
      <c r="J39" s="25" t="s">
        <v>188</v>
      </c>
      <c r="K39" s="25" t="s">
        <v>188</v>
      </c>
    </row>
    <row r="40" spans="1:11" ht="34.200000000000003" customHeight="1" x14ac:dyDescent="0.3">
      <c r="A40" s="3" t="s">
        <v>485</v>
      </c>
      <c r="B40" s="25" t="s">
        <v>486</v>
      </c>
      <c r="C40" s="25" t="s">
        <v>188</v>
      </c>
      <c r="D40" s="25" t="s">
        <v>188</v>
      </c>
      <c r="E40" s="25" t="s">
        <v>188</v>
      </c>
      <c r="F40" s="25" t="s">
        <v>188</v>
      </c>
      <c r="G40" s="25" t="s">
        <v>188</v>
      </c>
      <c r="H40" s="25" t="s">
        <v>188</v>
      </c>
      <c r="I40" s="25" t="s">
        <v>188</v>
      </c>
      <c r="J40" s="25" t="s">
        <v>188</v>
      </c>
      <c r="K40" s="25" t="s">
        <v>188</v>
      </c>
    </row>
    <row r="41" spans="1:11" ht="27.6" customHeight="1" x14ac:dyDescent="0.3">
      <c r="A41" s="3" t="s">
        <v>487</v>
      </c>
      <c r="B41" s="25" t="s">
        <v>488</v>
      </c>
      <c r="C41" s="25" t="s">
        <v>188</v>
      </c>
      <c r="D41" s="25" t="s">
        <v>188</v>
      </c>
      <c r="E41" s="25" t="s">
        <v>188</v>
      </c>
      <c r="F41" s="25" t="s">
        <v>188</v>
      </c>
      <c r="G41" s="25" t="s">
        <v>188</v>
      </c>
      <c r="H41" s="25" t="s">
        <v>188</v>
      </c>
      <c r="I41" s="25" t="s">
        <v>188</v>
      </c>
      <c r="J41" s="25" t="s">
        <v>188</v>
      </c>
      <c r="K41" s="25" t="s">
        <v>188</v>
      </c>
    </row>
    <row r="42" spans="1:11" ht="45.6" customHeight="1" x14ac:dyDescent="0.3">
      <c r="A42" s="3" t="s">
        <v>489</v>
      </c>
      <c r="B42" s="25" t="s">
        <v>490</v>
      </c>
      <c r="C42" s="25" t="s">
        <v>491</v>
      </c>
      <c r="D42" s="25" t="s">
        <v>490</v>
      </c>
      <c r="E42" s="25" t="s">
        <v>491</v>
      </c>
      <c r="F42" s="25" t="s">
        <v>490</v>
      </c>
      <c r="G42" s="25" t="s">
        <v>491</v>
      </c>
      <c r="H42" s="25">
        <v>504</v>
      </c>
      <c r="I42" s="25">
        <v>504</v>
      </c>
      <c r="J42" s="25">
        <v>504</v>
      </c>
      <c r="K42" s="25">
        <v>504</v>
      </c>
    </row>
    <row r="43" spans="1:11" ht="24" customHeight="1" x14ac:dyDescent="0.3">
      <c r="A43" s="3" t="s">
        <v>492</v>
      </c>
      <c r="B43" s="25" t="s">
        <v>493</v>
      </c>
      <c r="C43" s="25" t="s">
        <v>494</v>
      </c>
      <c r="D43" s="25" t="s">
        <v>547</v>
      </c>
      <c r="E43" s="25" t="s">
        <v>548</v>
      </c>
      <c r="F43" s="25" t="s">
        <v>600</v>
      </c>
      <c r="G43" s="25" t="s">
        <v>601</v>
      </c>
      <c r="H43" s="25">
        <v>10061</v>
      </c>
      <c r="I43" s="25">
        <v>9799</v>
      </c>
      <c r="J43" s="25">
        <v>9782</v>
      </c>
      <c r="K43" s="25">
        <v>9746</v>
      </c>
    </row>
    <row r="44" spans="1:11" ht="22.2" customHeight="1" x14ac:dyDescent="0.3">
      <c r="A44" s="3" t="s">
        <v>495</v>
      </c>
      <c r="B44" s="25" t="s">
        <v>496</v>
      </c>
      <c r="C44" s="25" t="s">
        <v>497</v>
      </c>
      <c r="D44" s="25" t="s">
        <v>549</v>
      </c>
      <c r="E44" s="25" t="s">
        <v>550</v>
      </c>
      <c r="F44" s="25" t="s">
        <v>602</v>
      </c>
      <c r="G44" s="25" t="s">
        <v>603</v>
      </c>
      <c r="H44" s="25">
        <v>20606</v>
      </c>
      <c r="I44" s="25">
        <v>18856</v>
      </c>
      <c r="J44" s="25">
        <v>17459</v>
      </c>
      <c r="K44" s="25">
        <v>16049</v>
      </c>
    </row>
    <row r="45" spans="1:11" ht="37.200000000000003" customHeight="1" x14ac:dyDescent="0.3">
      <c r="A45" s="3" t="s">
        <v>498</v>
      </c>
      <c r="B45" s="25">
        <v>-2100</v>
      </c>
      <c r="C45" s="25">
        <v>-2354</v>
      </c>
      <c r="D45" s="25">
        <v>-3711</v>
      </c>
      <c r="E45" s="25">
        <v>-1133</v>
      </c>
      <c r="F45" s="25" t="s">
        <v>604</v>
      </c>
      <c r="G45" s="25">
        <v>-876</v>
      </c>
      <c r="H45" s="25">
        <v>-1356</v>
      </c>
      <c r="I45" s="25">
        <v>-1009</v>
      </c>
      <c r="J45" s="25">
        <v>-2040</v>
      </c>
      <c r="K45" s="25">
        <v>-1442</v>
      </c>
    </row>
    <row r="46" spans="1:11" ht="24" customHeight="1" x14ac:dyDescent="0.3">
      <c r="A46" s="3" t="s">
        <v>658</v>
      </c>
      <c r="B46" s="25">
        <v>-16198</v>
      </c>
      <c r="C46" s="25">
        <v>-15025</v>
      </c>
      <c r="D46" s="25">
        <v>-11336</v>
      </c>
      <c r="E46" s="25">
        <v>-10009</v>
      </c>
      <c r="F46" s="25">
        <v>-10609</v>
      </c>
      <c r="G46" s="25">
        <v>-10209</v>
      </c>
      <c r="H46" s="25">
        <v>-8715</v>
      </c>
      <c r="I46" s="25">
        <v>-9029</v>
      </c>
      <c r="J46" s="25">
        <v>-7682</v>
      </c>
      <c r="K46" s="25">
        <v>-6457</v>
      </c>
    </row>
    <row r="47" spans="1:11" ht="24" customHeight="1" x14ac:dyDescent="0.3">
      <c r="A47" s="2" t="s">
        <v>499</v>
      </c>
      <c r="B47" s="25" t="s">
        <v>500</v>
      </c>
      <c r="C47" s="25" t="s">
        <v>501</v>
      </c>
      <c r="D47" s="25" t="s">
        <v>551</v>
      </c>
      <c r="E47" s="25" t="s">
        <v>552</v>
      </c>
      <c r="F47" s="25" t="s">
        <v>605</v>
      </c>
      <c r="G47" s="25" t="s">
        <v>606</v>
      </c>
      <c r="H47" s="25">
        <v>24790</v>
      </c>
      <c r="I47" s="25">
        <v>22317</v>
      </c>
      <c r="J47" s="25">
        <v>21219</v>
      </c>
      <c r="K47" s="25">
        <v>21135</v>
      </c>
    </row>
    <row r="48" spans="1:11" ht="24" customHeight="1" x14ac:dyDescent="0.3">
      <c r="A48" s="2" t="s">
        <v>502</v>
      </c>
      <c r="B48" s="25" t="s">
        <v>443</v>
      </c>
      <c r="C48" s="25" t="s">
        <v>444</v>
      </c>
      <c r="D48" s="25" t="s">
        <v>526</v>
      </c>
      <c r="E48" s="25">
        <v>314624</v>
      </c>
      <c r="F48" s="25" t="s">
        <v>577</v>
      </c>
      <c r="G48" s="25" t="s">
        <v>578</v>
      </c>
      <c r="H48" s="25">
        <v>244626</v>
      </c>
      <c r="I48" s="25">
        <v>238425</v>
      </c>
      <c r="J48" s="25">
        <v>242698</v>
      </c>
      <c r="K48" s="25">
        <v>245155</v>
      </c>
    </row>
    <row r="50" ht="48.6" customHeight="1" x14ac:dyDescent="0.3"/>
    <row r="51" ht="42.6" customHeight="1" x14ac:dyDescent="0.3"/>
    <row r="52" ht="14.4" customHeight="1" x14ac:dyDescent="0.3"/>
    <row r="53" ht="42.6" customHeight="1" x14ac:dyDescent="0.3"/>
    <row r="54" ht="14.4" customHeight="1" x14ac:dyDescent="0.3"/>
    <row r="55" ht="42.6" customHeight="1" x14ac:dyDescent="0.3"/>
    <row r="56" ht="14.4" customHeight="1" x14ac:dyDescent="0.3"/>
    <row r="57" ht="42.6" customHeight="1" x14ac:dyDescent="0.3"/>
    <row r="58" ht="14.4" customHeight="1" x14ac:dyDescent="0.3"/>
    <row r="59" ht="42.6" customHeight="1" x14ac:dyDescent="0.3"/>
    <row r="60" ht="42.6" customHeight="1" x14ac:dyDescent="0.3"/>
    <row r="62" ht="99.6" customHeight="1" x14ac:dyDescent="0.3"/>
    <row r="63" ht="42.6" customHeight="1" x14ac:dyDescent="0.3"/>
    <row r="66" ht="14.4" customHeight="1" x14ac:dyDescent="0.3"/>
    <row r="70" ht="21" customHeight="1" x14ac:dyDescent="0.3"/>
    <row r="72" ht="45" customHeight="1" x14ac:dyDescent="0.3"/>
    <row r="73" ht="30.6" customHeight="1" x14ac:dyDescent="0.3"/>
    <row r="75" ht="21" customHeight="1" x14ac:dyDescent="0.3"/>
    <row r="77" ht="45" customHeight="1" x14ac:dyDescent="0.3"/>
  </sheetData>
  <mergeCells count="3">
    <mergeCell ref="A2:K2"/>
    <mergeCell ref="A1:K1"/>
    <mergeCell ref="B3:K3"/>
  </mergeCells>
  <pageMargins left="1" right="1" top="1" bottom="1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1F69-3EC5-4885-A7D9-6A5A3FCAF74E}">
  <dimension ref="A1:K73"/>
  <sheetViews>
    <sheetView topLeftCell="A9" zoomScale="115" zoomScaleNormal="115" workbookViewId="0">
      <selection activeCell="I14" sqref="I14"/>
    </sheetView>
  </sheetViews>
  <sheetFormatPr defaultRowHeight="14.4" x14ac:dyDescent="0.3"/>
  <cols>
    <col min="1" max="1" width="15.44140625" style="14" customWidth="1"/>
    <col min="2" max="2" width="8" customWidth="1"/>
    <col min="3" max="3" width="7" customWidth="1"/>
    <col min="4" max="4" width="7.88671875" customWidth="1"/>
    <col min="5" max="5" width="8" customWidth="1"/>
    <col min="6" max="6" width="8.21875" customWidth="1"/>
    <col min="8" max="9" width="8.21875" customWidth="1"/>
    <col min="10" max="10" width="8.44140625" customWidth="1"/>
    <col min="11" max="11" width="9.6640625" customWidth="1"/>
    <col min="12" max="13" width="15.88671875" customWidth="1"/>
  </cols>
  <sheetData>
    <row r="1" spans="1:11" ht="26.4" customHeight="1" x14ac:dyDescent="0.3">
      <c r="A1" s="30" t="s">
        <v>654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39.6" customHeight="1" x14ac:dyDescent="0.3">
      <c r="A2" s="30" t="s">
        <v>651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ht="28.8" customHeight="1" x14ac:dyDescent="0.3">
      <c r="A3" s="4" t="s">
        <v>27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11" ht="24" customHeight="1" x14ac:dyDescent="0.3">
      <c r="A4" s="3" t="s">
        <v>28</v>
      </c>
      <c r="B4" s="11">
        <v>2024</v>
      </c>
      <c r="C4" s="11">
        <v>2023</v>
      </c>
      <c r="D4" s="11">
        <v>2022</v>
      </c>
      <c r="E4" s="11">
        <v>2021</v>
      </c>
      <c r="F4" s="11">
        <v>2020</v>
      </c>
      <c r="G4" s="11">
        <v>2019</v>
      </c>
      <c r="H4" s="11">
        <v>2018</v>
      </c>
      <c r="I4" s="11">
        <v>2017</v>
      </c>
      <c r="J4" s="11">
        <v>2016</v>
      </c>
      <c r="K4" s="11">
        <v>2015</v>
      </c>
    </row>
    <row r="5" spans="1:11" ht="19.2" customHeight="1" x14ac:dyDescent="0.3">
      <c r="A5" s="3" t="s">
        <v>29</v>
      </c>
      <c r="B5" s="24" t="s">
        <v>30</v>
      </c>
      <c r="C5" s="24" t="s">
        <v>31</v>
      </c>
      <c r="D5" s="24" t="s">
        <v>32</v>
      </c>
      <c r="E5" s="24" t="s">
        <v>165</v>
      </c>
      <c r="F5" s="24" t="s">
        <v>166</v>
      </c>
      <c r="G5" s="24" t="s">
        <v>228</v>
      </c>
      <c r="H5" s="24" t="s">
        <v>256</v>
      </c>
      <c r="I5" s="24">
        <v>5365</v>
      </c>
      <c r="J5" s="24">
        <v>5073</v>
      </c>
      <c r="K5" s="24">
        <v>5153</v>
      </c>
    </row>
    <row r="6" spans="1:11" ht="19.2" customHeight="1" x14ac:dyDescent="0.3">
      <c r="A6" s="3" t="s">
        <v>33</v>
      </c>
      <c r="B6" s="24" t="s">
        <v>34</v>
      </c>
      <c r="C6" s="24" t="s">
        <v>35</v>
      </c>
      <c r="D6" s="24" t="s">
        <v>36</v>
      </c>
      <c r="E6" s="24" t="s">
        <v>167</v>
      </c>
      <c r="F6" s="24" t="s">
        <v>168</v>
      </c>
      <c r="G6" s="24" t="s">
        <v>229</v>
      </c>
      <c r="H6" s="24" t="s">
        <v>257</v>
      </c>
      <c r="I6" s="24">
        <v>1616</v>
      </c>
      <c r="J6" s="24">
        <v>1292</v>
      </c>
      <c r="K6" s="24">
        <v>1174</v>
      </c>
    </row>
    <row r="7" spans="1:11" ht="35.4" customHeight="1" x14ac:dyDescent="0.3">
      <c r="A7" s="3" t="s">
        <v>37</v>
      </c>
      <c r="B7" s="24" t="s">
        <v>38</v>
      </c>
      <c r="C7" s="24" t="s">
        <v>39</v>
      </c>
      <c r="D7" s="24" t="s">
        <v>40</v>
      </c>
      <c r="E7" s="24" t="s">
        <v>169</v>
      </c>
      <c r="F7" s="24" t="s">
        <v>170</v>
      </c>
      <c r="G7" s="24" t="s">
        <v>230</v>
      </c>
      <c r="H7" s="24" t="s">
        <v>258</v>
      </c>
      <c r="I7" s="24">
        <v>1071</v>
      </c>
      <c r="J7" s="24">
        <v>1099</v>
      </c>
      <c r="K7" s="24">
        <v>1146</v>
      </c>
    </row>
    <row r="8" spans="1:11" ht="19.2" customHeight="1" x14ac:dyDescent="0.3">
      <c r="A8" s="3" t="s">
        <v>41</v>
      </c>
      <c r="B8" s="24" t="s">
        <v>42</v>
      </c>
      <c r="C8" s="24" t="s">
        <v>43</v>
      </c>
      <c r="D8" s="24" t="s">
        <v>44</v>
      </c>
      <c r="E8" s="24" t="s">
        <v>44</v>
      </c>
      <c r="F8" s="24" t="s">
        <v>171</v>
      </c>
      <c r="G8" s="24" t="s">
        <v>231</v>
      </c>
      <c r="H8" s="24" t="s">
        <v>259</v>
      </c>
      <c r="I8" s="24">
        <v>606</v>
      </c>
      <c r="J8" s="24">
        <v>562</v>
      </c>
      <c r="K8" s="24">
        <v>496</v>
      </c>
    </row>
    <row r="9" spans="1:11" ht="33" customHeight="1" x14ac:dyDescent="0.3">
      <c r="A9" s="3" t="s">
        <v>45</v>
      </c>
      <c r="B9" s="24" t="s">
        <v>46</v>
      </c>
      <c r="C9" s="24" t="s">
        <v>47</v>
      </c>
      <c r="D9" s="24" t="s">
        <v>48</v>
      </c>
      <c r="E9" s="24" t="s">
        <v>172</v>
      </c>
      <c r="F9" s="24" t="s">
        <v>173</v>
      </c>
      <c r="G9" s="24" t="s">
        <v>232</v>
      </c>
      <c r="H9" s="24" t="s">
        <v>260</v>
      </c>
      <c r="I9" s="24">
        <v>247</v>
      </c>
      <c r="J9" s="24">
        <v>90</v>
      </c>
      <c r="K9" s="24">
        <v>309</v>
      </c>
    </row>
    <row r="10" spans="1:11" ht="19.8" customHeight="1" x14ac:dyDescent="0.3">
      <c r="A10" s="3" t="s">
        <v>49</v>
      </c>
      <c r="B10" s="24" t="s">
        <v>50</v>
      </c>
      <c r="C10" s="24" t="s">
        <v>51</v>
      </c>
      <c r="D10" s="24">
        <v>-1</v>
      </c>
      <c r="E10" s="24" t="s">
        <v>174</v>
      </c>
      <c r="F10" s="24" t="s">
        <v>175</v>
      </c>
      <c r="G10" s="24">
        <f>SUM(G5:G9)</f>
        <v>0</v>
      </c>
      <c r="H10" s="24">
        <v>0</v>
      </c>
      <c r="I10" s="24">
        <v>0</v>
      </c>
      <c r="J10" s="24">
        <v>0</v>
      </c>
      <c r="K10" s="24">
        <v>0</v>
      </c>
    </row>
    <row r="11" spans="1:11" ht="26.4" customHeight="1" x14ac:dyDescent="0.3">
      <c r="A11" s="3" t="s">
        <v>52</v>
      </c>
      <c r="B11" s="24" t="s">
        <v>53</v>
      </c>
      <c r="C11" s="24" t="s">
        <v>54</v>
      </c>
      <c r="D11" s="24" t="s">
        <v>55</v>
      </c>
      <c r="E11" s="24" t="s">
        <v>176</v>
      </c>
      <c r="F11" s="24" t="s">
        <v>177</v>
      </c>
      <c r="G11" s="24" t="s">
        <v>233</v>
      </c>
      <c r="H11" s="24" t="s">
        <v>261</v>
      </c>
      <c r="I11" s="24">
        <v>8905</v>
      </c>
      <c r="J11" s="24">
        <v>8116</v>
      </c>
      <c r="K11" s="24">
        <v>8278</v>
      </c>
    </row>
    <row r="12" spans="1:11" ht="26.4" customHeight="1" x14ac:dyDescent="0.3">
      <c r="A12" s="2" t="s">
        <v>56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1:11" ht="19.8" customHeight="1" x14ac:dyDescent="0.3">
      <c r="A13" s="3" t="s">
        <v>57</v>
      </c>
      <c r="B13" s="24" t="s">
        <v>58</v>
      </c>
      <c r="C13" s="24" t="s">
        <v>59</v>
      </c>
      <c r="D13" s="24" t="s">
        <v>60</v>
      </c>
      <c r="E13" s="24" t="s">
        <v>178</v>
      </c>
      <c r="F13" s="24" t="s">
        <v>179</v>
      </c>
      <c r="G13" s="24" t="s">
        <v>234</v>
      </c>
      <c r="H13" s="24" t="s">
        <v>262</v>
      </c>
      <c r="I13" s="24">
        <v>2908</v>
      </c>
      <c r="J13" s="24">
        <v>2512</v>
      </c>
      <c r="K13" s="24">
        <v>2488</v>
      </c>
    </row>
    <row r="14" spans="1:11" ht="19.8" customHeight="1" x14ac:dyDescent="0.3">
      <c r="A14" s="3" t="s">
        <v>61</v>
      </c>
      <c r="B14" s="24" t="s">
        <v>62</v>
      </c>
      <c r="C14" s="24" t="s">
        <v>63</v>
      </c>
      <c r="D14" s="24" t="s">
        <v>64</v>
      </c>
      <c r="E14" s="24" t="s">
        <v>180</v>
      </c>
      <c r="F14" s="24" t="s">
        <v>181</v>
      </c>
      <c r="G14" s="24" t="s">
        <v>235</v>
      </c>
      <c r="H14" s="24" t="s">
        <v>263</v>
      </c>
      <c r="I14" s="24">
        <v>604</v>
      </c>
      <c r="J14" s="24">
        <v>428</v>
      </c>
      <c r="K14" s="24">
        <v>400</v>
      </c>
    </row>
    <row r="15" spans="1:11" ht="18.600000000000001" customHeight="1" x14ac:dyDescent="0.3">
      <c r="A15" s="3" t="s">
        <v>65</v>
      </c>
      <c r="B15" s="24" t="s">
        <v>66</v>
      </c>
      <c r="C15" s="24" t="s">
        <v>67</v>
      </c>
      <c r="D15" s="24" t="s">
        <v>68</v>
      </c>
      <c r="E15" s="24" t="s">
        <v>182</v>
      </c>
      <c r="F15" s="24" t="s">
        <v>183</v>
      </c>
      <c r="G15" s="24" t="s">
        <v>236</v>
      </c>
      <c r="H15" s="24" t="s">
        <v>264</v>
      </c>
      <c r="I15" s="24">
        <v>2304</v>
      </c>
      <c r="J15" s="24">
        <v>2084</v>
      </c>
      <c r="K15" s="24">
        <v>2088</v>
      </c>
    </row>
    <row r="16" spans="1:11" ht="18.600000000000001" customHeight="1" x14ac:dyDescent="0.3">
      <c r="A16" s="2" t="s">
        <v>69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spans="1:11" ht="22.8" customHeight="1" x14ac:dyDescent="0.3">
      <c r="A17" s="3" t="s">
        <v>70</v>
      </c>
      <c r="B17" s="24">
        <v>-79</v>
      </c>
      <c r="C17" s="24">
        <v>-294</v>
      </c>
      <c r="D17" s="24">
        <v>-2</v>
      </c>
      <c r="E17" s="24" t="s">
        <v>184</v>
      </c>
      <c r="F17" s="24" t="s">
        <v>185</v>
      </c>
      <c r="G17" s="24">
        <v>-1</v>
      </c>
      <c r="H17" s="24" t="s">
        <v>227</v>
      </c>
      <c r="I17" s="24">
        <v>-39</v>
      </c>
      <c r="J17" s="24">
        <v>-7</v>
      </c>
      <c r="K17" s="24">
        <v>-6</v>
      </c>
    </row>
    <row r="18" spans="1:11" ht="19.8" customHeight="1" x14ac:dyDescent="0.3">
      <c r="A18" s="3" t="s">
        <v>186</v>
      </c>
      <c r="B18" s="24">
        <v>0</v>
      </c>
      <c r="C18" s="24">
        <v>0</v>
      </c>
      <c r="D18" s="24">
        <v>0</v>
      </c>
      <c r="E18" s="24" t="s">
        <v>187</v>
      </c>
      <c r="F18" s="24">
        <v>0</v>
      </c>
      <c r="G18" s="24" t="s">
        <v>237</v>
      </c>
      <c r="H18" s="24">
        <v>-3</v>
      </c>
      <c r="I18" s="24">
        <v>0</v>
      </c>
      <c r="J18" s="24">
        <v>0</v>
      </c>
      <c r="K18" s="24">
        <v>0</v>
      </c>
    </row>
    <row r="19" spans="1:11" ht="19.2" customHeight="1" x14ac:dyDescent="0.3">
      <c r="A19" s="3" t="s">
        <v>71</v>
      </c>
      <c r="B19" s="24">
        <v>-79</v>
      </c>
      <c r="C19" s="24">
        <v>-294</v>
      </c>
      <c r="D19" s="24">
        <v>-2</v>
      </c>
      <c r="E19" s="24" t="s">
        <v>189</v>
      </c>
      <c r="F19" s="24" t="s">
        <v>185</v>
      </c>
      <c r="G19" s="24" t="s">
        <v>238</v>
      </c>
      <c r="H19" s="24" t="s">
        <v>265</v>
      </c>
      <c r="I19" s="24">
        <v>0</v>
      </c>
      <c r="J19" s="24">
        <v>0</v>
      </c>
      <c r="K19" s="24">
        <v>0</v>
      </c>
    </row>
    <row r="20" spans="1:11" ht="19.2" customHeight="1" x14ac:dyDescent="0.3">
      <c r="A20" s="2" t="s">
        <v>72</v>
      </c>
      <c r="B20" s="24" t="s">
        <v>73</v>
      </c>
      <c r="C20" s="24" t="s">
        <v>74</v>
      </c>
      <c r="D20" s="24" t="s">
        <v>75</v>
      </c>
      <c r="E20" s="24" t="s">
        <v>190</v>
      </c>
      <c r="F20" s="24" t="s">
        <v>191</v>
      </c>
      <c r="G20" s="24" t="s">
        <v>239</v>
      </c>
      <c r="H20" s="24" t="s">
        <v>266</v>
      </c>
      <c r="I20" s="24">
        <v>11170</v>
      </c>
      <c r="J20" s="24">
        <v>10207</v>
      </c>
      <c r="K20" s="24">
        <v>10360</v>
      </c>
    </row>
    <row r="21" spans="1:11" ht="30" customHeight="1" x14ac:dyDescent="0.3">
      <c r="A21" s="3" t="s">
        <v>76</v>
      </c>
      <c r="B21" s="24" t="s">
        <v>77</v>
      </c>
      <c r="C21" s="24" t="s">
        <v>78</v>
      </c>
      <c r="D21" s="24" t="s">
        <v>79</v>
      </c>
      <c r="E21" s="24">
        <v>-33</v>
      </c>
      <c r="F21" s="24" t="s">
        <v>192</v>
      </c>
      <c r="G21" s="24" t="s">
        <v>240</v>
      </c>
      <c r="H21" s="24" t="s">
        <v>267</v>
      </c>
      <c r="I21" s="24">
        <v>2</v>
      </c>
      <c r="J21" s="24">
        <v>10</v>
      </c>
      <c r="K21" s="24">
        <v>12</v>
      </c>
    </row>
    <row r="22" spans="1:11" ht="22.8" customHeight="1" x14ac:dyDescent="0.3">
      <c r="A22" s="2" t="s">
        <v>80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</row>
    <row r="23" spans="1:11" ht="31.8" customHeight="1" x14ac:dyDescent="0.3">
      <c r="A23" s="3" t="s">
        <v>81</v>
      </c>
      <c r="B23" s="24" t="s">
        <v>82</v>
      </c>
      <c r="C23" s="24" t="s">
        <v>83</v>
      </c>
      <c r="D23" s="24" t="s">
        <v>84</v>
      </c>
      <c r="E23" s="24" t="s">
        <v>193</v>
      </c>
      <c r="F23" s="24" t="s">
        <v>194</v>
      </c>
      <c r="G23" s="24" t="s">
        <v>241</v>
      </c>
      <c r="H23" s="24" t="s">
        <v>268</v>
      </c>
      <c r="I23" s="24">
        <v>4394</v>
      </c>
      <c r="J23" s="24">
        <v>4353</v>
      </c>
      <c r="K23" s="24">
        <v>4061</v>
      </c>
    </row>
    <row r="24" spans="1:11" ht="64.8" customHeight="1" x14ac:dyDescent="0.3">
      <c r="A24" s="3" t="s">
        <v>85</v>
      </c>
      <c r="B24" s="24" t="s">
        <v>86</v>
      </c>
      <c r="C24" s="24" t="s">
        <v>87</v>
      </c>
      <c r="D24" s="24" t="s">
        <v>88</v>
      </c>
      <c r="E24" s="24" t="s">
        <v>195</v>
      </c>
      <c r="F24" s="24" t="s">
        <v>196</v>
      </c>
      <c r="G24" s="24" t="s">
        <v>242</v>
      </c>
      <c r="H24" s="24" t="s">
        <v>269</v>
      </c>
      <c r="I24" s="24">
        <v>1167</v>
      </c>
      <c r="J24" s="24">
        <v>1105</v>
      </c>
      <c r="K24" s="24">
        <v>1022</v>
      </c>
    </row>
    <row r="25" spans="1:11" ht="36" customHeight="1" x14ac:dyDescent="0.3">
      <c r="A25" s="3" t="s">
        <v>89</v>
      </c>
      <c r="B25" s="24" t="s">
        <v>90</v>
      </c>
      <c r="C25" s="24" t="s">
        <v>91</v>
      </c>
      <c r="D25" s="24" t="s">
        <v>92</v>
      </c>
      <c r="E25" s="24" t="s">
        <v>197</v>
      </c>
      <c r="F25" s="24" t="s">
        <v>198</v>
      </c>
      <c r="G25" s="24" t="s">
        <v>243</v>
      </c>
      <c r="H25" s="24" t="s">
        <v>270</v>
      </c>
      <c r="I25" s="24">
        <v>838</v>
      </c>
      <c r="J25" s="24">
        <v>800</v>
      </c>
      <c r="K25" s="24">
        <v>793</v>
      </c>
    </row>
    <row r="26" spans="1:11" ht="57" customHeight="1" x14ac:dyDescent="0.3">
      <c r="A26" s="3" t="s">
        <v>93</v>
      </c>
      <c r="B26" s="24" t="s">
        <v>94</v>
      </c>
      <c r="C26" s="24" t="s">
        <v>43</v>
      </c>
      <c r="D26" s="24" t="s">
        <v>95</v>
      </c>
      <c r="E26" s="24" t="s">
        <v>199</v>
      </c>
      <c r="F26" s="24" t="s">
        <v>200</v>
      </c>
      <c r="G26" s="24" t="s">
        <v>244</v>
      </c>
      <c r="H26" s="24" t="s">
        <v>271</v>
      </c>
      <c r="I26" s="24">
        <v>461</v>
      </c>
      <c r="J26" s="24">
        <v>440</v>
      </c>
      <c r="K26" s="24">
        <v>444</v>
      </c>
    </row>
    <row r="27" spans="1:11" ht="22.8" customHeight="1" x14ac:dyDescent="0.3">
      <c r="A27" s="3" t="s">
        <v>96</v>
      </c>
      <c r="B27" s="24" t="s">
        <v>97</v>
      </c>
      <c r="C27" s="24">
        <v>-15</v>
      </c>
      <c r="D27" s="24" t="s">
        <v>98</v>
      </c>
      <c r="E27" s="24" t="s">
        <v>98</v>
      </c>
      <c r="F27" s="24" t="s">
        <v>201</v>
      </c>
      <c r="G27" s="24" t="s">
        <v>245</v>
      </c>
      <c r="H27" s="24" t="s">
        <v>272</v>
      </c>
      <c r="I27" s="24">
        <v>266</v>
      </c>
      <c r="J27" s="24">
        <v>209</v>
      </c>
      <c r="K27" s="24">
        <v>25</v>
      </c>
    </row>
    <row r="28" spans="1:11" ht="60.6" customHeight="1" x14ac:dyDescent="0.3">
      <c r="A28" s="3" t="s">
        <v>99</v>
      </c>
      <c r="B28" s="24" t="s">
        <v>100</v>
      </c>
      <c r="C28" s="24" t="s">
        <v>101</v>
      </c>
      <c r="D28" s="24" t="s">
        <v>102</v>
      </c>
      <c r="E28" s="24" t="s">
        <v>202</v>
      </c>
      <c r="F28" s="24" t="s">
        <v>203</v>
      </c>
      <c r="G28" s="24" t="s">
        <v>246</v>
      </c>
      <c r="H28" s="24" t="s">
        <v>273</v>
      </c>
      <c r="I28" s="24">
        <v>214</v>
      </c>
      <c r="J28" s="24">
        <v>207</v>
      </c>
      <c r="K28" s="24">
        <v>197</v>
      </c>
    </row>
    <row r="29" spans="1:11" ht="19.2" customHeight="1" x14ac:dyDescent="0.3">
      <c r="A29" s="3" t="s">
        <v>103</v>
      </c>
      <c r="B29" s="24" t="s">
        <v>104</v>
      </c>
      <c r="C29" s="24" t="s">
        <v>105</v>
      </c>
      <c r="D29" s="24" t="s">
        <v>106</v>
      </c>
      <c r="E29" s="24" t="s">
        <v>204</v>
      </c>
      <c r="F29" s="24" t="s">
        <v>205</v>
      </c>
      <c r="G29" s="24" t="s">
        <v>247</v>
      </c>
      <c r="H29" s="24" t="s">
        <v>274</v>
      </c>
      <c r="I29" s="24">
        <v>929</v>
      </c>
      <c r="J29" s="24">
        <v>963</v>
      </c>
      <c r="K29" s="24">
        <v>1508</v>
      </c>
    </row>
    <row r="30" spans="1:11" ht="60.6" customHeight="1" x14ac:dyDescent="0.3">
      <c r="A30" s="2" t="s">
        <v>107</v>
      </c>
      <c r="B30" s="24" t="s">
        <v>108</v>
      </c>
      <c r="C30" s="24" t="s">
        <v>109</v>
      </c>
      <c r="D30" s="24" t="s">
        <v>110</v>
      </c>
      <c r="E30" s="24" t="s">
        <v>206</v>
      </c>
      <c r="F30" s="24" t="s">
        <v>207</v>
      </c>
      <c r="G30" s="24" t="s">
        <v>248</v>
      </c>
      <c r="H30" s="24" t="s">
        <v>275</v>
      </c>
      <c r="I30" s="24">
        <v>8269</v>
      </c>
      <c r="J30" s="24">
        <v>8077</v>
      </c>
      <c r="K30" s="24">
        <v>8050</v>
      </c>
    </row>
    <row r="31" spans="1:11" ht="30.6" customHeight="1" x14ac:dyDescent="0.3">
      <c r="A31" s="3" t="s">
        <v>111</v>
      </c>
      <c r="B31" s="24" t="s">
        <v>112</v>
      </c>
      <c r="C31" s="24" t="s">
        <v>113</v>
      </c>
      <c r="D31" s="24" t="s">
        <v>114</v>
      </c>
      <c r="E31" s="24" t="s">
        <v>208</v>
      </c>
      <c r="F31" s="24" t="s">
        <v>209</v>
      </c>
      <c r="G31" s="24" t="s">
        <v>249</v>
      </c>
      <c r="H31" s="24" t="s">
        <v>276</v>
      </c>
      <c r="I31" s="24">
        <v>2899</v>
      </c>
      <c r="J31" s="24">
        <v>2121</v>
      </c>
      <c r="K31" s="24">
        <v>2298</v>
      </c>
    </row>
    <row r="32" spans="1:11" ht="51" customHeight="1" x14ac:dyDescent="0.3">
      <c r="A32" s="3" t="s">
        <v>115</v>
      </c>
      <c r="B32" s="24" t="s">
        <v>116</v>
      </c>
      <c r="C32" s="24" t="s">
        <v>117</v>
      </c>
      <c r="D32" s="24" t="s">
        <v>118</v>
      </c>
      <c r="E32" s="24" t="s">
        <v>210</v>
      </c>
      <c r="F32" s="24" t="s">
        <v>211</v>
      </c>
      <c r="G32" s="24" t="s">
        <v>244</v>
      </c>
      <c r="H32" s="24" t="s">
        <v>277</v>
      </c>
      <c r="I32" s="24">
        <v>722</v>
      </c>
      <c r="J32" s="24">
        <v>-22</v>
      </c>
      <c r="K32" s="24">
        <v>318</v>
      </c>
    </row>
    <row r="33" spans="1:11" ht="17.399999999999999" customHeight="1" x14ac:dyDescent="0.3">
      <c r="A33" s="2" t="s">
        <v>119</v>
      </c>
      <c r="B33" s="24" t="s">
        <v>120</v>
      </c>
      <c r="C33" s="24" t="s">
        <v>121</v>
      </c>
      <c r="D33" s="24" t="s">
        <v>122</v>
      </c>
      <c r="E33" s="24" t="s">
        <v>212</v>
      </c>
      <c r="F33" s="24" t="s">
        <v>213</v>
      </c>
      <c r="G33" s="24" t="s">
        <v>250</v>
      </c>
      <c r="H33" s="24" t="s">
        <v>279</v>
      </c>
      <c r="I33" s="24">
        <v>2177</v>
      </c>
      <c r="J33" s="24">
        <v>2143</v>
      </c>
      <c r="K33" s="24">
        <v>1980</v>
      </c>
    </row>
    <row r="34" spans="1:11" ht="24" customHeight="1" x14ac:dyDescent="0.3">
      <c r="A34" s="2" t="s">
        <v>123</v>
      </c>
      <c r="B34" s="24" t="s">
        <v>124</v>
      </c>
      <c r="C34" s="24" t="s">
        <v>125</v>
      </c>
      <c r="D34" s="24" t="s">
        <v>126</v>
      </c>
      <c r="E34" s="24" t="s">
        <v>214</v>
      </c>
      <c r="F34" s="24" t="s">
        <v>215</v>
      </c>
      <c r="G34" s="24" t="s">
        <v>251</v>
      </c>
      <c r="H34" s="24" t="s">
        <v>280</v>
      </c>
      <c r="I34" s="24">
        <v>1993</v>
      </c>
      <c r="J34" s="24">
        <v>1968</v>
      </c>
      <c r="K34" s="24">
        <v>1848</v>
      </c>
    </row>
    <row r="35" spans="1:11" ht="24" customHeight="1" x14ac:dyDescent="0.3">
      <c r="A35" s="2" t="s">
        <v>127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</row>
    <row r="36" spans="1:11" ht="19.8" customHeight="1" x14ac:dyDescent="0.3">
      <c r="A36" s="3" t="s">
        <v>128</v>
      </c>
      <c r="B36" s="24" t="s">
        <v>129</v>
      </c>
      <c r="C36" s="24" t="s">
        <v>130</v>
      </c>
      <c r="D36" s="24" t="s">
        <v>131</v>
      </c>
      <c r="E36" s="24" t="s">
        <v>216</v>
      </c>
      <c r="F36" s="24" t="s">
        <v>217</v>
      </c>
      <c r="G36" s="24">
        <v>5.43</v>
      </c>
      <c r="H36" s="24" t="s">
        <v>281</v>
      </c>
      <c r="I36" s="24">
        <v>5.32</v>
      </c>
      <c r="J36" s="24">
        <v>5.03</v>
      </c>
      <c r="K36" s="24">
        <v>4.53</v>
      </c>
    </row>
    <row r="37" spans="1:11" ht="21.6" customHeight="1" x14ac:dyDescent="0.3">
      <c r="A37" s="3" t="s">
        <v>132</v>
      </c>
      <c r="B37" s="24" t="s">
        <v>133</v>
      </c>
      <c r="C37" s="24" t="s">
        <v>134</v>
      </c>
      <c r="D37" s="24" t="s">
        <v>135</v>
      </c>
      <c r="E37" s="24" t="s">
        <v>135</v>
      </c>
      <c r="F37" s="24" t="s">
        <v>218</v>
      </c>
      <c r="G37" s="24" t="s">
        <v>252</v>
      </c>
      <c r="H37" s="24" t="s">
        <v>282</v>
      </c>
      <c r="I37" s="24">
        <v>5.24</v>
      </c>
      <c r="J37" s="24">
        <v>4.97</v>
      </c>
      <c r="K37" s="24">
        <v>4.47</v>
      </c>
    </row>
    <row r="38" spans="1:11" ht="21.6" customHeight="1" x14ac:dyDescent="0.3">
      <c r="A38" s="2" t="s">
        <v>136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</row>
    <row r="39" spans="1:11" ht="40.200000000000003" customHeight="1" x14ac:dyDescent="0.3">
      <c r="A39" s="3" t="s">
        <v>128</v>
      </c>
      <c r="B39" s="24" t="s">
        <v>137</v>
      </c>
      <c r="C39" s="24" t="s">
        <v>138</v>
      </c>
      <c r="D39" s="24" t="s">
        <v>139</v>
      </c>
      <c r="E39" s="24" t="s">
        <v>219</v>
      </c>
      <c r="F39" s="24" t="s">
        <v>220</v>
      </c>
      <c r="G39" s="24" t="s">
        <v>253</v>
      </c>
      <c r="H39" s="24" t="s">
        <v>283</v>
      </c>
      <c r="I39" s="24">
        <v>374793</v>
      </c>
      <c r="J39" s="24">
        <v>391485</v>
      </c>
      <c r="K39" s="24">
        <v>407856</v>
      </c>
    </row>
    <row r="40" spans="1:11" ht="21.6" customHeight="1" x14ac:dyDescent="0.3">
      <c r="A40" s="3" t="s">
        <v>132</v>
      </c>
      <c r="B40" s="24" t="s">
        <v>140</v>
      </c>
      <c r="C40" s="24" t="s">
        <v>141</v>
      </c>
      <c r="D40" s="24" t="s">
        <v>142</v>
      </c>
      <c r="E40" s="24" t="s">
        <v>221</v>
      </c>
      <c r="F40" s="24" t="s">
        <v>222</v>
      </c>
      <c r="G40" s="24" t="s">
        <v>254</v>
      </c>
      <c r="H40" s="24" t="s">
        <v>284</v>
      </c>
      <c r="I40" s="24">
        <v>380213</v>
      </c>
      <c r="J40" s="24">
        <v>396090</v>
      </c>
      <c r="K40" s="24">
        <v>413638</v>
      </c>
    </row>
    <row r="41" spans="1:11" ht="24" customHeight="1" x14ac:dyDescent="0.3">
      <c r="A41" s="2" t="s">
        <v>143</v>
      </c>
      <c r="B41" s="24" t="s">
        <v>144</v>
      </c>
      <c r="C41" s="24" t="s">
        <v>145</v>
      </c>
      <c r="D41" s="24" t="s">
        <v>146</v>
      </c>
      <c r="E41" s="24" t="s">
        <v>223</v>
      </c>
      <c r="F41" s="24" t="s">
        <v>224</v>
      </c>
      <c r="G41" s="24" t="s">
        <v>255</v>
      </c>
      <c r="H41" s="24" t="s">
        <v>285</v>
      </c>
      <c r="I41" s="24">
        <v>1.6</v>
      </c>
      <c r="J41" s="24">
        <v>1.44</v>
      </c>
      <c r="K41" s="24">
        <v>1.32</v>
      </c>
    </row>
    <row r="42" spans="1:11" ht="42.6" customHeight="1" x14ac:dyDescent="0.3">
      <c r="A42" s="13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spans="1:11" ht="52.8" x14ac:dyDescent="0.3">
      <c r="A43" s="5" t="s">
        <v>659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 spans="1:11" ht="27.6" customHeight="1" x14ac:dyDescent="0.3">
      <c r="A44" s="6"/>
      <c r="B44" s="11" t="s">
        <v>27</v>
      </c>
      <c r="C44" s="11"/>
      <c r="D44" s="11"/>
      <c r="E44" s="11"/>
      <c r="F44" s="11"/>
      <c r="G44" s="11"/>
      <c r="H44" s="11"/>
      <c r="I44" s="11"/>
      <c r="J44" s="11"/>
      <c r="K44" s="11"/>
    </row>
    <row r="45" spans="1:11" ht="30.6" customHeight="1" x14ac:dyDescent="0.3">
      <c r="A45" s="3" t="s">
        <v>147</v>
      </c>
      <c r="B45" s="11">
        <v>2024</v>
      </c>
      <c r="C45" s="11">
        <v>2023</v>
      </c>
      <c r="D45" s="11">
        <v>2022</v>
      </c>
      <c r="E45" s="11">
        <v>2021</v>
      </c>
      <c r="F45" s="11">
        <v>2020</v>
      </c>
      <c r="G45" s="11">
        <v>2019</v>
      </c>
      <c r="H45" s="11">
        <v>2018</v>
      </c>
      <c r="I45" s="27">
        <v>2017</v>
      </c>
      <c r="J45" s="27">
        <v>2016</v>
      </c>
      <c r="K45" s="27">
        <v>2015</v>
      </c>
    </row>
    <row r="46" spans="1:11" ht="15" customHeight="1" x14ac:dyDescent="0.3">
      <c r="A46" s="2" t="s">
        <v>119</v>
      </c>
      <c r="B46" s="24" t="s">
        <v>120</v>
      </c>
      <c r="C46" s="24" t="s">
        <v>121</v>
      </c>
      <c r="D46" s="24" t="s">
        <v>122</v>
      </c>
      <c r="E46" s="24">
        <v>2693</v>
      </c>
      <c r="F46" s="24" t="s">
        <v>278</v>
      </c>
      <c r="G46" s="24" t="s">
        <v>250</v>
      </c>
      <c r="H46" s="24">
        <v>2593</v>
      </c>
      <c r="I46" s="24">
        <v>2177</v>
      </c>
      <c r="J46" s="24">
        <v>2143</v>
      </c>
      <c r="K46" s="24">
        <v>1980</v>
      </c>
    </row>
    <row r="47" spans="1:11" ht="24" customHeight="1" x14ac:dyDescent="0.3">
      <c r="A47" s="2" t="s">
        <v>148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</row>
    <row r="48" spans="1:11" ht="34.200000000000003" customHeight="1" x14ac:dyDescent="0.3">
      <c r="A48" s="3" t="s">
        <v>149</v>
      </c>
      <c r="B48" s="24">
        <v>-228</v>
      </c>
      <c r="C48" s="24" t="s">
        <v>150</v>
      </c>
      <c r="D48" s="24">
        <v>-441</v>
      </c>
      <c r="E48" s="24">
        <v>-413</v>
      </c>
      <c r="F48" s="24" t="s">
        <v>286</v>
      </c>
      <c r="G48" s="24">
        <v>-9</v>
      </c>
      <c r="H48" s="24">
        <v>-67</v>
      </c>
      <c r="I48" s="24">
        <v>900</v>
      </c>
      <c r="J48" s="24">
        <v>-372</v>
      </c>
      <c r="K48" s="24">
        <v>-735</v>
      </c>
    </row>
    <row r="49" spans="1:11" ht="57" customHeight="1" x14ac:dyDescent="0.3">
      <c r="A49" s="3" t="s">
        <v>151</v>
      </c>
      <c r="B49" s="24" t="s">
        <v>152</v>
      </c>
      <c r="C49" s="24" t="s">
        <v>153</v>
      </c>
      <c r="D49" s="24">
        <v>-1767</v>
      </c>
      <c r="E49" s="24">
        <v>-896</v>
      </c>
      <c r="F49" s="24">
        <v>439</v>
      </c>
      <c r="G49" s="24">
        <v>564</v>
      </c>
      <c r="H49" s="24">
        <v>-274</v>
      </c>
      <c r="I49" s="24">
        <v>392</v>
      </c>
      <c r="J49" s="24">
        <v>-151</v>
      </c>
      <c r="K49" s="24">
        <v>-306</v>
      </c>
    </row>
    <row r="50" spans="1:11" ht="57" customHeight="1" x14ac:dyDescent="0.3">
      <c r="A50" s="3" t="s">
        <v>154</v>
      </c>
      <c r="B50" s="24">
        <v>-1</v>
      </c>
      <c r="C50" s="24" t="s">
        <v>155</v>
      </c>
      <c r="D50" s="24">
        <v>-357</v>
      </c>
      <c r="E50" s="24">
        <v>-59</v>
      </c>
      <c r="F50" s="24" t="s">
        <v>288</v>
      </c>
      <c r="G50" s="24" t="s">
        <v>289</v>
      </c>
      <c r="H50" s="24">
        <v>-33</v>
      </c>
      <c r="I50" s="24">
        <v>-285</v>
      </c>
      <c r="J50" s="24">
        <v>-64</v>
      </c>
      <c r="K50" s="24">
        <v>17</v>
      </c>
    </row>
    <row r="51" spans="1:11" ht="57" customHeight="1" x14ac:dyDescent="0.3">
      <c r="A51" s="3" t="s">
        <v>156</v>
      </c>
      <c r="B51" s="24" t="s">
        <v>157</v>
      </c>
      <c r="C51" s="24">
        <v>-2</v>
      </c>
      <c r="D51" s="24">
        <v>-13</v>
      </c>
      <c r="E51" s="24" t="s">
        <v>226</v>
      </c>
      <c r="F51" s="24" t="s">
        <v>290</v>
      </c>
      <c r="G51" s="24">
        <v>-16</v>
      </c>
      <c r="H51" s="24">
        <v>27</v>
      </c>
      <c r="I51" s="24">
        <v>24</v>
      </c>
      <c r="J51" s="24">
        <v>-11</v>
      </c>
      <c r="K51" s="24">
        <v>89</v>
      </c>
    </row>
    <row r="52" spans="1:11" ht="45.6" customHeight="1" x14ac:dyDescent="0.3">
      <c r="A52" s="2" t="s">
        <v>158</v>
      </c>
      <c r="B52" s="24" t="s">
        <v>159</v>
      </c>
      <c r="C52" s="24" t="s">
        <v>160</v>
      </c>
      <c r="D52" s="24">
        <v>-2578</v>
      </c>
      <c r="E52" s="24">
        <v>-1320</v>
      </c>
      <c r="F52" s="24" t="s">
        <v>291</v>
      </c>
      <c r="G52" s="24" t="s">
        <v>292</v>
      </c>
      <c r="H52" s="24">
        <v>-347</v>
      </c>
      <c r="I52" s="24">
        <v>1031</v>
      </c>
      <c r="J52" s="24">
        <v>-598</v>
      </c>
      <c r="K52" s="24">
        <v>-935</v>
      </c>
    </row>
    <row r="53" spans="1:11" ht="45.6" customHeight="1" x14ac:dyDescent="0.3">
      <c r="A53" s="2" t="s">
        <v>161</v>
      </c>
      <c r="B53" s="24" t="s">
        <v>162</v>
      </c>
      <c r="C53" s="24" t="s">
        <v>163</v>
      </c>
      <c r="D53" s="24" t="s">
        <v>164</v>
      </c>
      <c r="E53" s="24">
        <v>1373</v>
      </c>
      <c r="F53" s="24" t="s">
        <v>293</v>
      </c>
      <c r="G53" s="24" t="s">
        <v>294</v>
      </c>
      <c r="H53" s="24">
        <v>2246</v>
      </c>
      <c r="I53" s="24">
        <v>3208</v>
      </c>
      <c r="J53" s="24">
        <v>1545</v>
      </c>
      <c r="K53" s="24">
        <v>1045</v>
      </c>
    </row>
    <row r="54" spans="1:11" ht="24" customHeight="1" x14ac:dyDescent="0.3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</row>
    <row r="55" spans="1:11" x14ac:dyDescent="0.3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</row>
    <row r="56" spans="1:11" ht="69" customHeight="1" x14ac:dyDescent="0.3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</row>
    <row r="57" spans="1:11" ht="30.6" customHeight="1" x14ac:dyDescent="0.3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</row>
    <row r="58" spans="1:11" x14ac:dyDescent="0.3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</row>
    <row r="59" spans="1:11" x14ac:dyDescent="0.3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</row>
    <row r="60" spans="1:11" x14ac:dyDescent="0.3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</row>
    <row r="61" spans="1:11" ht="69" customHeight="1" x14ac:dyDescent="0.3"/>
    <row r="66" ht="14.4" customHeight="1" x14ac:dyDescent="0.3"/>
    <row r="68" ht="57.6" customHeight="1" x14ac:dyDescent="0.3"/>
    <row r="73" ht="57.6" customHeight="1" x14ac:dyDescent="0.3"/>
  </sheetData>
  <mergeCells count="4">
    <mergeCell ref="A2:K2"/>
    <mergeCell ref="A1:K1"/>
    <mergeCell ref="B3:K3"/>
    <mergeCell ref="A54:K60"/>
  </mergeCells>
  <pageMargins left="1" right="1" top="1" bottom="1" header="0.5" footer="0.5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59EE-9FA9-4FE2-AAE4-8B23C6779A6B}">
  <dimension ref="A1:K41"/>
  <sheetViews>
    <sheetView workbookViewId="0">
      <selection activeCell="A2" sqref="A2:K2"/>
    </sheetView>
  </sheetViews>
  <sheetFormatPr defaultRowHeight="14.4" x14ac:dyDescent="0.3"/>
  <cols>
    <col min="1" max="1" width="22.33203125" customWidth="1"/>
  </cols>
  <sheetData>
    <row r="1" spans="1:11" ht="38.4" customHeight="1" x14ac:dyDescent="0.3">
      <c r="A1" s="33" t="s">
        <v>654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55.8" customHeight="1" x14ac:dyDescent="0.3">
      <c r="A2" s="29" t="s">
        <v>652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ht="35.4" customHeight="1" x14ac:dyDescent="0.3">
      <c r="A3" s="15" t="s">
        <v>27</v>
      </c>
      <c r="B3" s="34"/>
      <c r="C3" s="35"/>
      <c r="D3" s="35"/>
      <c r="E3" s="35"/>
      <c r="F3" s="35"/>
      <c r="G3" s="35"/>
      <c r="H3" s="35"/>
      <c r="I3" s="35"/>
      <c r="J3" s="35"/>
      <c r="K3" s="35"/>
    </row>
    <row r="4" spans="1:11" ht="17.399999999999999" customHeight="1" x14ac:dyDescent="0.3">
      <c r="A4" s="2" t="s">
        <v>147</v>
      </c>
      <c r="B4" s="2">
        <v>2024</v>
      </c>
      <c r="C4" s="2">
        <v>2023</v>
      </c>
      <c r="D4" s="2">
        <v>2022</v>
      </c>
      <c r="E4" s="2">
        <v>2021</v>
      </c>
      <c r="F4" s="2">
        <v>2020</v>
      </c>
      <c r="G4" s="2">
        <v>2019</v>
      </c>
      <c r="H4" s="2">
        <v>2018</v>
      </c>
      <c r="I4" s="2">
        <v>2017</v>
      </c>
      <c r="J4" s="2">
        <v>2016</v>
      </c>
      <c r="K4" s="2">
        <v>2015</v>
      </c>
    </row>
    <row r="5" spans="1:11" ht="27.6" customHeight="1" x14ac:dyDescent="0.3">
      <c r="A5" s="2" t="s">
        <v>296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3">
      <c r="A6" s="2" t="s">
        <v>119</v>
      </c>
      <c r="B6" s="7" t="s">
        <v>384</v>
      </c>
      <c r="C6" s="7" t="s">
        <v>121</v>
      </c>
      <c r="D6" s="7" t="s">
        <v>122</v>
      </c>
      <c r="E6" s="7" t="s">
        <v>212</v>
      </c>
      <c r="F6" s="7" t="s">
        <v>213</v>
      </c>
      <c r="G6" s="7" t="s">
        <v>250</v>
      </c>
      <c r="H6" s="7">
        <v>2599</v>
      </c>
      <c r="I6" s="7">
        <v>2177</v>
      </c>
      <c r="J6" s="7">
        <v>2143</v>
      </c>
      <c r="K6" s="7">
        <v>1980</v>
      </c>
    </row>
    <row r="7" spans="1:11" ht="24" customHeight="1" x14ac:dyDescent="0.3">
      <c r="A7" s="2" t="s">
        <v>297</v>
      </c>
      <c r="B7" s="7" t="s">
        <v>385</v>
      </c>
      <c r="C7" s="7">
        <v>-184</v>
      </c>
      <c r="D7" s="7">
        <v>-62</v>
      </c>
      <c r="E7" s="7">
        <v>-162</v>
      </c>
      <c r="F7" s="7">
        <v>-194</v>
      </c>
      <c r="G7" s="7">
        <v>-130</v>
      </c>
      <c r="H7" s="7">
        <v>-145</v>
      </c>
      <c r="I7" s="7">
        <v>95</v>
      </c>
      <c r="J7" s="7">
        <v>-358</v>
      </c>
      <c r="K7" s="7">
        <v>-168</v>
      </c>
    </row>
    <row r="8" spans="1:11" ht="25.8" customHeight="1" x14ac:dyDescent="0.3">
      <c r="A8" s="2" t="s">
        <v>99</v>
      </c>
      <c r="B8" s="7" t="s">
        <v>386</v>
      </c>
      <c r="C8" s="7" t="s">
        <v>101</v>
      </c>
      <c r="D8" s="7" t="s">
        <v>102</v>
      </c>
      <c r="E8" s="7" t="s">
        <v>202</v>
      </c>
      <c r="F8" s="7" t="s">
        <v>203</v>
      </c>
      <c r="G8" s="7" t="s">
        <v>246</v>
      </c>
      <c r="H8" s="7">
        <v>226</v>
      </c>
      <c r="I8" s="7">
        <v>214</v>
      </c>
      <c r="J8" s="7">
        <v>207</v>
      </c>
      <c r="K8" s="7">
        <v>197</v>
      </c>
    </row>
    <row r="9" spans="1:11" ht="51.6" customHeight="1" x14ac:dyDescent="0.3">
      <c r="A9" s="2" t="s">
        <v>298</v>
      </c>
      <c r="B9" s="7" t="s">
        <v>181</v>
      </c>
      <c r="C9" s="7" t="s">
        <v>299</v>
      </c>
      <c r="D9" s="7" t="s">
        <v>300</v>
      </c>
      <c r="E9" s="7" t="s">
        <v>387</v>
      </c>
      <c r="F9" s="7" t="s">
        <v>354</v>
      </c>
      <c r="G9" s="7" t="s">
        <v>355</v>
      </c>
      <c r="H9" s="7">
        <v>977</v>
      </c>
      <c r="I9" s="7">
        <v>871</v>
      </c>
      <c r="J9" s="7">
        <v>722</v>
      </c>
      <c r="K9" s="7">
        <v>604</v>
      </c>
    </row>
    <row r="10" spans="1:11" ht="31.8" customHeight="1" x14ac:dyDescent="0.3">
      <c r="A10" s="2" t="s">
        <v>301</v>
      </c>
      <c r="B10" s="7" t="s">
        <v>388</v>
      </c>
      <c r="C10" s="7" t="s">
        <v>302</v>
      </c>
      <c r="D10" s="7" t="s">
        <v>303</v>
      </c>
      <c r="E10" s="7">
        <v>-57</v>
      </c>
      <c r="F10" s="7">
        <v>-4</v>
      </c>
      <c r="G10" s="7" t="s">
        <v>287</v>
      </c>
      <c r="H10" s="7">
        <v>-6</v>
      </c>
      <c r="I10" s="7">
        <v>39</v>
      </c>
      <c r="J10" s="7">
        <v>-7</v>
      </c>
      <c r="K10" s="7">
        <v>6</v>
      </c>
    </row>
    <row r="11" spans="1:11" ht="22.2" customHeight="1" x14ac:dyDescent="0.3">
      <c r="A11" s="2" t="s">
        <v>76</v>
      </c>
      <c r="B11" s="7" t="s">
        <v>389</v>
      </c>
      <c r="C11" s="7" t="s">
        <v>78</v>
      </c>
      <c r="D11" s="7" t="s">
        <v>79</v>
      </c>
      <c r="E11" s="7">
        <v>-33</v>
      </c>
      <c r="F11" s="7" t="s">
        <v>192</v>
      </c>
      <c r="G11" s="7" t="s">
        <v>240</v>
      </c>
      <c r="H11" s="7"/>
      <c r="I11" s="7"/>
      <c r="J11" s="7"/>
      <c r="K11" s="7"/>
    </row>
    <row r="12" spans="1:11" ht="28.2" customHeight="1" x14ac:dyDescent="0.3">
      <c r="A12" s="2" t="s">
        <v>304</v>
      </c>
      <c r="B12" s="7" t="s">
        <v>390</v>
      </c>
      <c r="C12" s="7">
        <v>-123</v>
      </c>
      <c r="D12" s="7" t="s">
        <v>305</v>
      </c>
      <c r="E12" s="7" t="s">
        <v>184</v>
      </c>
      <c r="F12" s="7" t="s">
        <v>356</v>
      </c>
      <c r="G12" s="7">
        <v>-54</v>
      </c>
      <c r="H12" s="7">
        <v>233</v>
      </c>
      <c r="I12" s="7">
        <v>-69</v>
      </c>
      <c r="J12" s="7">
        <v>-175</v>
      </c>
      <c r="K12" s="7">
        <v>75</v>
      </c>
    </row>
    <row r="13" spans="1:11" ht="28.2" customHeight="1" x14ac:dyDescent="0.3">
      <c r="A13" s="2" t="s">
        <v>306</v>
      </c>
      <c r="B13" s="7">
        <v>-224</v>
      </c>
      <c r="C13" s="7">
        <v>-359</v>
      </c>
      <c r="D13" s="7">
        <v>-156</v>
      </c>
      <c r="E13" s="7">
        <v>-173</v>
      </c>
      <c r="F13" s="7" t="s">
        <v>225</v>
      </c>
      <c r="G13" s="7">
        <v>-28</v>
      </c>
      <c r="H13" s="7">
        <v>26</v>
      </c>
      <c r="I13" s="7">
        <v>-455</v>
      </c>
      <c r="J13" s="7">
        <v>-298</v>
      </c>
      <c r="K13" s="7">
        <v>-104</v>
      </c>
    </row>
    <row r="14" spans="1:11" ht="23.4" customHeight="1" x14ac:dyDescent="0.3">
      <c r="A14" s="2" t="s">
        <v>307</v>
      </c>
      <c r="B14" s="7">
        <v>-12109</v>
      </c>
      <c r="C14" s="7">
        <v>-2246</v>
      </c>
      <c r="D14" s="7" t="s">
        <v>308</v>
      </c>
      <c r="E14" s="7">
        <v>-7662</v>
      </c>
      <c r="F14" s="7">
        <v>-2951</v>
      </c>
      <c r="G14" s="7" t="s">
        <v>357</v>
      </c>
      <c r="H14" s="7">
        <v>7326</v>
      </c>
      <c r="I14" s="7">
        <v>1819</v>
      </c>
      <c r="J14" s="7">
        <v>-18</v>
      </c>
      <c r="K14" s="7">
        <v>-6662</v>
      </c>
    </row>
    <row r="15" spans="1:11" ht="45" customHeight="1" x14ac:dyDescent="0.3">
      <c r="A15" s="2" t="s">
        <v>309</v>
      </c>
      <c r="B15" s="7">
        <v>-7191</v>
      </c>
      <c r="C15" s="7" t="s">
        <v>310</v>
      </c>
      <c r="D15" s="7">
        <v>-1125</v>
      </c>
      <c r="E15" s="7">
        <v>-3448</v>
      </c>
      <c r="F15" s="7" t="s">
        <v>358</v>
      </c>
      <c r="G15" s="7" t="s">
        <v>359</v>
      </c>
      <c r="H15" s="7">
        <v>-1836</v>
      </c>
      <c r="I15" s="7">
        <v>3267</v>
      </c>
      <c r="J15" s="7">
        <v>-1057</v>
      </c>
      <c r="K15" s="7">
        <v>982</v>
      </c>
    </row>
    <row r="16" spans="1:11" ht="16.8" customHeight="1" x14ac:dyDescent="0.3">
      <c r="A16" s="2" t="s">
        <v>311</v>
      </c>
      <c r="B16" s="7" t="s">
        <v>391</v>
      </c>
      <c r="C16" s="7">
        <v>-1839</v>
      </c>
      <c r="D16" s="7" t="s">
        <v>312</v>
      </c>
      <c r="E16" s="7" t="s">
        <v>392</v>
      </c>
      <c r="F16" s="7">
        <v>-1406</v>
      </c>
      <c r="G16" s="7">
        <v>-713</v>
      </c>
      <c r="H16" s="7">
        <v>260</v>
      </c>
      <c r="I16" s="7">
        <v>-1341</v>
      </c>
      <c r="J16" s="7">
        <v>1772</v>
      </c>
      <c r="K16" s="7">
        <v>1156</v>
      </c>
    </row>
    <row r="17" spans="1:11" ht="46.8" customHeight="1" x14ac:dyDescent="0.3">
      <c r="A17" s="2" t="s">
        <v>313</v>
      </c>
      <c r="B17" s="7" t="s">
        <v>393</v>
      </c>
      <c r="C17" s="7">
        <v>-128</v>
      </c>
      <c r="D17" s="7" t="s">
        <v>314</v>
      </c>
      <c r="E17" s="7">
        <v>-574</v>
      </c>
      <c r="F17" s="7">
        <v>-170</v>
      </c>
      <c r="G17" s="7" t="s">
        <v>302</v>
      </c>
      <c r="H17" s="7">
        <v>397</v>
      </c>
      <c r="I17" s="7">
        <v>9</v>
      </c>
      <c r="J17" s="7">
        <v>-1147</v>
      </c>
      <c r="K17" s="7">
        <v>-48</v>
      </c>
    </row>
    <row r="18" spans="1:11" x14ac:dyDescent="0.3">
      <c r="A18" s="2" t="s">
        <v>315</v>
      </c>
      <c r="B18" s="7" t="s">
        <v>394</v>
      </c>
      <c r="C18" s="7" t="s">
        <v>316</v>
      </c>
      <c r="D18" s="7" t="s">
        <v>260</v>
      </c>
      <c r="E18" s="7" t="s">
        <v>395</v>
      </c>
      <c r="F18" s="7" t="s">
        <v>360</v>
      </c>
      <c r="G18" s="7" t="s">
        <v>361</v>
      </c>
      <c r="H18" s="7">
        <v>400</v>
      </c>
      <c r="I18" s="7">
        <v>307</v>
      </c>
      <c r="J18" s="7">
        <v>506</v>
      </c>
      <c r="K18" s="7">
        <v>579</v>
      </c>
    </row>
    <row r="19" spans="1:11" ht="30" customHeight="1" x14ac:dyDescent="0.3">
      <c r="A19" s="2" t="s">
        <v>317</v>
      </c>
      <c r="B19" s="7">
        <v>-13210</v>
      </c>
      <c r="C19" s="7" t="s">
        <v>318</v>
      </c>
      <c r="D19" s="7" t="s">
        <v>319</v>
      </c>
      <c r="E19" s="7">
        <v>-6710</v>
      </c>
      <c r="F19" s="7" t="s">
        <v>362</v>
      </c>
      <c r="G19" s="7" t="s">
        <v>363</v>
      </c>
      <c r="H19" s="7">
        <v>10457</v>
      </c>
      <c r="I19" s="7">
        <v>6933</v>
      </c>
      <c r="J19" s="7">
        <v>2290</v>
      </c>
      <c r="K19" s="7">
        <v>-1403</v>
      </c>
    </row>
    <row r="20" spans="1:11" ht="16.8" customHeight="1" x14ac:dyDescent="0.3">
      <c r="A20" s="2" t="s">
        <v>320</v>
      </c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39.6" customHeight="1" x14ac:dyDescent="0.3">
      <c r="A21" s="2" t="s">
        <v>321</v>
      </c>
      <c r="B21" s="7">
        <v>-25292</v>
      </c>
      <c r="C21" s="7" t="s">
        <v>322</v>
      </c>
      <c r="D21" s="7" t="s">
        <v>323</v>
      </c>
      <c r="E21" s="7" t="s">
        <v>396</v>
      </c>
      <c r="F21" s="7">
        <v>-47995</v>
      </c>
      <c r="G21" s="7" t="s">
        <v>364</v>
      </c>
      <c r="H21" s="7">
        <v>-5813</v>
      </c>
      <c r="I21" s="7">
        <v>3708</v>
      </c>
      <c r="J21" s="7">
        <v>4403</v>
      </c>
      <c r="K21" s="7">
        <v>18185</v>
      </c>
    </row>
    <row r="22" spans="1:11" ht="36.6" customHeight="1" x14ac:dyDescent="0.3">
      <c r="A22" s="2" t="s">
        <v>324</v>
      </c>
      <c r="B22" s="7" t="s">
        <v>397</v>
      </c>
      <c r="C22" s="7">
        <v>-1477</v>
      </c>
      <c r="D22" s="7">
        <v>-2203</v>
      </c>
      <c r="E22" s="7" t="s">
        <v>398</v>
      </c>
      <c r="F22" s="7">
        <v>-1619</v>
      </c>
      <c r="G22" s="7" t="s">
        <v>365</v>
      </c>
      <c r="H22" s="7">
        <v>-1438</v>
      </c>
      <c r="I22" s="7">
        <v>-1285</v>
      </c>
      <c r="J22" s="7">
        <v>1448</v>
      </c>
      <c r="K22" s="7">
        <v>-1014</v>
      </c>
    </row>
    <row r="23" spans="1:11" ht="29.4" customHeight="1" x14ac:dyDescent="0.3">
      <c r="A23" s="2" t="s">
        <v>325</v>
      </c>
      <c r="B23" s="7" t="s">
        <v>399</v>
      </c>
      <c r="C23" s="7" t="s">
        <v>326</v>
      </c>
      <c r="D23" s="7" t="s">
        <v>327</v>
      </c>
      <c r="E23" s="7" t="s">
        <v>400</v>
      </c>
      <c r="F23" s="7" t="s">
        <v>366</v>
      </c>
      <c r="G23" s="7" t="s">
        <v>367</v>
      </c>
      <c r="H23" s="7">
        <v>26082</v>
      </c>
      <c r="I23" s="7">
        <v>12439</v>
      </c>
      <c r="J23" s="7">
        <v>1401</v>
      </c>
      <c r="K23" s="7">
        <v>12309</v>
      </c>
    </row>
    <row r="24" spans="1:11" ht="27.6" customHeight="1" x14ac:dyDescent="0.3">
      <c r="A24" s="2" t="s">
        <v>328</v>
      </c>
      <c r="B24" s="7" t="s">
        <v>401</v>
      </c>
      <c r="C24" s="7" t="s">
        <v>329</v>
      </c>
      <c r="D24" s="7" t="s">
        <v>330</v>
      </c>
      <c r="E24" s="7" t="s">
        <v>402</v>
      </c>
      <c r="F24" s="7" t="s">
        <v>368</v>
      </c>
      <c r="G24" s="7" t="s">
        <v>369</v>
      </c>
      <c r="H24" s="7">
        <v>14645</v>
      </c>
      <c r="I24" s="7">
        <v>28878</v>
      </c>
      <c r="J24" s="7">
        <v>30070</v>
      </c>
      <c r="K24" s="7">
        <v>28025</v>
      </c>
    </row>
    <row r="25" spans="1:11" ht="22.8" customHeight="1" x14ac:dyDescent="0.3">
      <c r="A25" s="2" t="s">
        <v>331</v>
      </c>
      <c r="B25" s="7">
        <v>-44301</v>
      </c>
      <c r="C25" s="7">
        <v>-23089</v>
      </c>
      <c r="D25" s="7">
        <v>-18029</v>
      </c>
      <c r="E25" s="7">
        <v>-53750</v>
      </c>
      <c r="F25" s="7">
        <v>-37873</v>
      </c>
      <c r="G25" s="7">
        <v>-38164</v>
      </c>
      <c r="H25" s="7">
        <v>-31814</v>
      </c>
      <c r="I25" s="7">
        <v>-34841</v>
      </c>
      <c r="J25" s="7">
        <v>-30162</v>
      </c>
      <c r="K25" s="7">
        <v>-25397</v>
      </c>
    </row>
    <row r="26" spans="1:11" ht="26.4" customHeight="1" x14ac:dyDescent="0.3">
      <c r="A26" s="2" t="s">
        <v>370</v>
      </c>
      <c r="B26" s="7"/>
      <c r="C26" s="7"/>
      <c r="D26" s="7"/>
      <c r="E26" s="7" t="s">
        <v>188</v>
      </c>
      <c r="F26" s="7">
        <v>-29242</v>
      </c>
      <c r="G26" s="7" t="s">
        <v>188</v>
      </c>
      <c r="H26" s="7"/>
      <c r="I26" s="7"/>
      <c r="J26" s="7"/>
      <c r="K26" s="7"/>
    </row>
    <row r="27" spans="1:11" ht="37.200000000000003" customHeight="1" x14ac:dyDescent="0.3">
      <c r="A27" s="2" t="s">
        <v>371</v>
      </c>
      <c r="B27" s="7"/>
      <c r="C27" s="7"/>
      <c r="D27" s="7"/>
      <c r="E27" s="7" t="s">
        <v>403</v>
      </c>
      <c r="F27" s="7" t="s">
        <v>372</v>
      </c>
      <c r="G27" s="7" t="s">
        <v>188</v>
      </c>
      <c r="H27" s="7">
        <v>6296</v>
      </c>
      <c r="I27" s="7">
        <v>4028</v>
      </c>
      <c r="J27" s="7">
        <v>7942</v>
      </c>
      <c r="K27" s="7">
        <v>3842</v>
      </c>
    </row>
    <row r="28" spans="1:11" ht="27" customHeight="1" x14ac:dyDescent="0.3">
      <c r="A28" s="2" t="s">
        <v>332</v>
      </c>
      <c r="B28" s="7" t="s">
        <v>404</v>
      </c>
      <c r="C28" s="7" t="s">
        <v>333</v>
      </c>
      <c r="D28" s="7" t="s">
        <v>334</v>
      </c>
      <c r="E28" s="7" t="s">
        <v>405</v>
      </c>
      <c r="F28" s="7" t="s">
        <v>373</v>
      </c>
      <c r="G28" s="7" t="s">
        <v>374</v>
      </c>
      <c r="H28" s="7">
        <v>-6539</v>
      </c>
      <c r="I28" s="7">
        <v>-8772</v>
      </c>
      <c r="J28" s="7">
        <v>-8425</v>
      </c>
      <c r="K28" s="7">
        <v>-9368</v>
      </c>
    </row>
    <row r="29" spans="1:11" ht="14.4" customHeight="1" x14ac:dyDescent="0.3">
      <c r="A29" s="2" t="s">
        <v>335</v>
      </c>
      <c r="B29" s="7">
        <v>-5</v>
      </c>
      <c r="C29" s="7">
        <v>-1582</v>
      </c>
      <c r="D29" s="7">
        <v>-8564</v>
      </c>
      <c r="E29" s="7">
        <v>-8583</v>
      </c>
      <c r="F29" s="7">
        <v>-13981</v>
      </c>
      <c r="G29" s="7">
        <v>-6938</v>
      </c>
      <c r="H29" s="7"/>
      <c r="I29" s="7"/>
      <c r="J29" s="7"/>
      <c r="K29" s="7"/>
    </row>
    <row r="30" spans="1:11" ht="16.2" customHeight="1" x14ac:dyDescent="0.3">
      <c r="A30" s="2" t="s">
        <v>336</v>
      </c>
      <c r="B30" s="7" t="s">
        <v>406</v>
      </c>
      <c r="C30" s="7" t="s">
        <v>337</v>
      </c>
      <c r="D30" s="7" t="s">
        <v>338</v>
      </c>
      <c r="E30" s="7" t="s">
        <v>407</v>
      </c>
      <c r="F30" s="7" t="s">
        <v>375</v>
      </c>
      <c r="G30" s="7" t="s">
        <v>376</v>
      </c>
      <c r="H30" s="7"/>
      <c r="I30" s="7"/>
      <c r="J30" s="7"/>
      <c r="K30" s="7"/>
    </row>
    <row r="31" spans="1:11" ht="16.8" customHeight="1" x14ac:dyDescent="0.3">
      <c r="A31" s="2" t="s">
        <v>339</v>
      </c>
      <c r="B31" s="7">
        <v>-7369</v>
      </c>
      <c r="C31" s="7">
        <v>-4746</v>
      </c>
      <c r="D31" s="7">
        <v>-1667</v>
      </c>
      <c r="E31" s="7">
        <v>-4779</v>
      </c>
      <c r="F31" s="7">
        <v>-1939</v>
      </c>
      <c r="G31" s="7">
        <v>-650</v>
      </c>
      <c r="H31" s="7">
        <v>-2461</v>
      </c>
      <c r="I31" s="7">
        <v>-3511</v>
      </c>
      <c r="J31" s="7">
        <v>-924</v>
      </c>
      <c r="K31" s="7">
        <v>-561</v>
      </c>
    </row>
    <row r="32" spans="1:11" ht="25.2" customHeight="1" x14ac:dyDescent="0.3">
      <c r="A32" s="2" t="s">
        <v>340</v>
      </c>
      <c r="B32" s="7">
        <v>-194</v>
      </c>
      <c r="C32" s="7">
        <v>-61</v>
      </c>
      <c r="D32" s="7">
        <v>0</v>
      </c>
      <c r="E32" s="7">
        <v>-346</v>
      </c>
      <c r="F32" s="7" t="s">
        <v>188</v>
      </c>
      <c r="G32" s="7">
        <v>-54</v>
      </c>
      <c r="H32" s="7">
        <v>-2595</v>
      </c>
      <c r="I32" s="7" t="s">
        <v>295</v>
      </c>
      <c r="J32" s="7">
        <v>-437</v>
      </c>
      <c r="K32" s="7" t="s">
        <v>383</v>
      </c>
    </row>
    <row r="33" spans="1:11" ht="20.399999999999999" customHeight="1" x14ac:dyDescent="0.3">
      <c r="A33" s="2" t="s">
        <v>377</v>
      </c>
      <c r="B33" s="7"/>
      <c r="C33" s="7"/>
      <c r="D33" s="7"/>
      <c r="E33" s="7" t="s">
        <v>397</v>
      </c>
      <c r="F33" s="7" t="s">
        <v>188</v>
      </c>
      <c r="G33" s="7" t="s">
        <v>188</v>
      </c>
      <c r="H33" s="7"/>
      <c r="I33" s="7"/>
      <c r="J33" s="7"/>
      <c r="K33" s="7" t="s">
        <v>383</v>
      </c>
    </row>
    <row r="34" spans="1:11" ht="39.6" customHeight="1" x14ac:dyDescent="0.3">
      <c r="A34" s="2" t="s">
        <v>341</v>
      </c>
      <c r="B34" s="7">
        <v>-143</v>
      </c>
      <c r="C34" s="7">
        <v>-136</v>
      </c>
      <c r="D34" s="7">
        <v>-250</v>
      </c>
      <c r="E34" s="7">
        <v>-216</v>
      </c>
      <c r="F34" s="7">
        <v>-1436</v>
      </c>
      <c r="G34" s="7">
        <v>-647</v>
      </c>
      <c r="H34" s="7">
        <v>-326</v>
      </c>
      <c r="I34" s="7">
        <v>-233</v>
      </c>
      <c r="J34" s="7">
        <v>-643</v>
      </c>
      <c r="K34" s="7">
        <v>-366</v>
      </c>
    </row>
    <row r="35" spans="1:11" ht="27" customHeight="1" x14ac:dyDescent="0.3">
      <c r="A35" s="2" t="s">
        <v>342</v>
      </c>
      <c r="B35" s="7">
        <v>-926</v>
      </c>
      <c r="C35" s="7">
        <v>-816</v>
      </c>
      <c r="D35" s="7">
        <v>-734</v>
      </c>
      <c r="E35" s="7">
        <v>-811</v>
      </c>
      <c r="F35" s="7">
        <v>-560</v>
      </c>
      <c r="G35" s="7">
        <v>-730</v>
      </c>
      <c r="H35" s="7">
        <v>-609</v>
      </c>
      <c r="I35" s="7">
        <v>-637</v>
      </c>
      <c r="J35" s="7">
        <v>-613</v>
      </c>
      <c r="K35" s="7">
        <v>-703</v>
      </c>
    </row>
    <row r="36" spans="1:11" ht="26.4" customHeight="1" x14ac:dyDescent="0.3">
      <c r="A36" s="2" t="s">
        <v>382</v>
      </c>
      <c r="B36" s="7"/>
      <c r="C36" s="7"/>
      <c r="D36" s="7"/>
      <c r="E36" s="7"/>
      <c r="F36" s="7"/>
      <c r="G36" s="7"/>
      <c r="H36" s="7" t="s">
        <v>295</v>
      </c>
      <c r="I36" s="7">
        <v>172</v>
      </c>
      <c r="J36" s="7"/>
      <c r="K36" s="7" t="s">
        <v>383</v>
      </c>
    </row>
    <row r="37" spans="1:11" x14ac:dyDescent="0.3">
      <c r="A37" s="2" t="s">
        <v>315</v>
      </c>
      <c r="B37" s="7">
        <v>-332</v>
      </c>
      <c r="C37" s="7" t="s">
        <v>343</v>
      </c>
      <c r="D37" s="7" t="s">
        <v>344</v>
      </c>
      <c r="E37" s="7" t="s">
        <v>408</v>
      </c>
      <c r="F37" s="7" t="s">
        <v>378</v>
      </c>
      <c r="G37" s="7" t="s">
        <v>232</v>
      </c>
      <c r="H37" s="7">
        <v>76</v>
      </c>
      <c r="I37" s="7">
        <v>102</v>
      </c>
      <c r="J37" s="7">
        <v>170</v>
      </c>
      <c r="K37" s="7">
        <v>73</v>
      </c>
    </row>
    <row r="38" spans="1:11" ht="26.4" customHeight="1" x14ac:dyDescent="0.3">
      <c r="A38" s="2" t="s">
        <v>345</v>
      </c>
      <c r="B38" s="7">
        <v>-39483</v>
      </c>
      <c r="C38" s="7" t="s">
        <v>346</v>
      </c>
      <c r="D38" s="7" t="s">
        <v>347</v>
      </c>
      <c r="E38" s="7">
        <v>-2172</v>
      </c>
      <c r="F38" s="7">
        <v>-65534</v>
      </c>
      <c r="G38" s="7">
        <v>-2626</v>
      </c>
      <c r="H38" s="7">
        <v>-4496</v>
      </c>
      <c r="I38" s="7">
        <v>48</v>
      </c>
      <c r="J38" s="7">
        <v>4230</v>
      </c>
      <c r="K38" s="7">
        <v>24995</v>
      </c>
    </row>
    <row r="39" spans="1:11" ht="44.4" customHeight="1" x14ac:dyDescent="0.3">
      <c r="A39" s="2" t="s">
        <v>348</v>
      </c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 ht="51" customHeight="1" x14ac:dyDescent="0.3">
      <c r="A40" s="2" t="s">
        <v>349</v>
      </c>
      <c r="B40" s="7" t="s">
        <v>353</v>
      </c>
      <c r="C40" s="7" t="s">
        <v>350</v>
      </c>
      <c r="D40" s="7" t="s">
        <v>351</v>
      </c>
      <c r="E40" s="7" t="s">
        <v>381</v>
      </c>
      <c r="F40" s="7" t="s">
        <v>379</v>
      </c>
      <c r="G40" s="7" t="s">
        <v>380</v>
      </c>
      <c r="H40" s="7">
        <v>2107</v>
      </c>
      <c r="I40" s="7">
        <v>1314</v>
      </c>
      <c r="J40" s="7">
        <v>1207</v>
      </c>
      <c r="K40" s="7">
        <v>-648</v>
      </c>
    </row>
    <row r="41" spans="1:11" ht="36.6" customHeight="1" x14ac:dyDescent="0.3">
      <c r="A41" s="2" t="s">
        <v>352</v>
      </c>
      <c r="B41" s="7" t="s">
        <v>409</v>
      </c>
      <c r="C41" s="7" t="s">
        <v>353</v>
      </c>
      <c r="D41" s="7" t="s">
        <v>350</v>
      </c>
      <c r="E41" s="7" t="s">
        <v>351</v>
      </c>
      <c r="F41" s="7" t="s">
        <v>381</v>
      </c>
      <c r="G41" s="7" t="s">
        <v>379</v>
      </c>
      <c r="H41" s="7">
        <v>3597</v>
      </c>
      <c r="I41" s="7">
        <v>2107</v>
      </c>
      <c r="J41" s="7">
        <v>1314</v>
      </c>
      <c r="K41" s="7">
        <v>1855</v>
      </c>
    </row>
  </sheetData>
  <mergeCells count="3">
    <mergeCell ref="A1:K1"/>
    <mergeCell ref="A2:K2"/>
    <mergeCell ref="B3:K3"/>
  </mergeCells>
  <pageMargins left="1" right="1" top="1" bottom="1" header="0.5" footer="0.5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D2BFD-5490-4F51-93C6-BF5588218B43}">
  <dimension ref="A1:K15"/>
  <sheetViews>
    <sheetView workbookViewId="0">
      <selection activeCell="O8" sqref="O8"/>
    </sheetView>
  </sheetViews>
  <sheetFormatPr defaultRowHeight="14.4" x14ac:dyDescent="0.3"/>
  <cols>
    <col min="1" max="1" width="19.33203125" customWidth="1"/>
    <col min="2" max="3" width="8.88671875" customWidth="1"/>
  </cols>
  <sheetData>
    <row r="1" spans="1:11" ht="37.200000000000003" customHeight="1" x14ac:dyDescent="0.3">
      <c r="A1" s="29" t="s">
        <v>654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44.4" customHeight="1" x14ac:dyDescent="0.3">
      <c r="A2" s="29" t="s">
        <v>653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ht="37.799999999999997" customHeight="1" x14ac:dyDescent="0.3">
      <c r="A3" s="15" t="s">
        <v>27</v>
      </c>
      <c r="B3" s="36"/>
      <c r="C3" s="37"/>
      <c r="D3" s="37"/>
      <c r="E3" s="37"/>
      <c r="F3" s="37"/>
      <c r="G3" s="37"/>
      <c r="H3" s="37"/>
      <c r="I3" s="37"/>
      <c r="J3" s="37"/>
      <c r="K3" s="37"/>
    </row>
    <row r="4" spans="1:11" ht="49.2" customHeight="1" x14ac:dyDescent="0.3">
      <c r="A4" s="2" t="s">
        <v>644</v>
      </c>
      <c r="B4" s="2">
        <v>2024</v>
      </c>
      <c r="C4" s="2">
        <v>2023</v>
      </c>
      <c r="D4" s="2">
        <v>2022</v>
      </c>
      <c r="E4" s="2">
        <v>2021</v>
      </c>
      <c r="F4" s="2">
        <v>2020</v>
      </c>
      <c r="G4" s="2">
        <v>2019</v>
      </c>
      <c r="H4" s="2">
        <v>2018</v>
      </c>
      <c r="I4" s="2">
        <v>2017</v>
      </c>
      <c r="J4" s="2">
        <v>2016</v>
      </c>
      <c r="K4" s="2">
        <v>2015</v>
      </c>
    </row>
    <row r="5" spans="1:11" ht="24" x14ac:dyDescent="0.3">
      <c r="A5" s="2" t="s">
        <v>619</v>
      </c>
      <c r="B5" s="7" t="s">
        <v>648</v>
      </c>
      <c r="C5" s="7">
        <v>1976</v>
      </c>
      <c r="D5" s="7">
        <v>1976</v>
      </c>
      <c r="E5" s="7" t="s">
        <v>630</v>
      </c>
      <c r="F5" s="7" t="s">
        <v>636</v>
      </c>
      <c r="G5" s="7" t="s">
        <v>643</v>
      </c>
      <c r="H5" s="7">
        <v>3690</v>
      </c>
      <c r="I5" s="7">
        <v>3196</v>
      </c>
      <c r="J5" s="7">
        <v>3196</v>
      </c>
      <c r="K5" s="7">
        <v>2703</v>
      </c>
    </row>
    <row r="6" spans="1:11" x14ac:dyDescent="0.3">
      <c r="A6" s="2" t="s">
        <v>620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22.8" x14ac:dyDescent="0.3">
      <c r="A7" s="3" t="s">
        <v>621</v>
      </c>
      <c r="B7" s="7">
        <v>503880</v>
      </c>
      <c r="C7" s="7" t="s">
        <v>631</v>
      </c>
      <c r="D7" s="7">
        <v>503880</v>
      </c>
      <c r="E7" s="7" t="s">
        <v>631</v>
      </c>
      <c r="F7" s="7" t="s">
        <v>637</v>
      </c>
      <c r="G7" s="7" t="s">
        <v>631</v>
      </c>
      <c r="H7" s="7">
        <v>503880</v>
      </c>
      <c r="I7" s="7">
        <v>503880</v>
      </c>
      <c r="J7" s="7">
        <v>503880</v>
      </c>
      <c r="K7" s="7">
        <v>503880</v>
      </c>
    </row>
    <row r="8" spans="1:11" x14ac:dyDescent="0.3">
      <c r="A8" s="3" t="s">
        <v>622</v>
      </c>
      <c r="B8" s="7">
        <v>504</v>
      </c>
      <c r="C8" s="7">
        <v>504</v>
      </c>
      <c r="D8" s="7">
        <v>504</v>
      </c>
      <c r="E8" s="7" t="s">
        <v>632</v>
      </c>
      <c r="F8" s="7" t="s">
        <v>638</v>
      </c>
      <c r="G8" s="7" t="s">
        <v>632</v>
      </c>
      <c r="H8" s="7">
        <v>504</v>
      </c>
      <c r="I8" s="7">
        <v>504</v>
      </c>
      <c r="J8" s="7">
        <v>504</v>
      </c>
      <c r="K8" s="7">
        <v>504</v>
      </c>
    </row>
    <row r="9" spans="1:11" x14ac:dyDescent="0.3">
      <c r="A9" s="2" t="s">
        <v>492</v>
      </c>
      <c r="B9" s="7">
        <v>10722</v>
      </c>
      <c r="C9" s="7" t="s">
        <v>645</v>
      </c>
      <c r="D9" s="7" t="s">
        <v>627</v>
      </c>
      <c r="E9" s="7" t="s">
        <v>633</v>
      </c>
      <c r="F9" s="7" t="s">
        <v>639</v>
      </c>
      <c r="G9" s="7">
        <v>10132</v>
      </c>
      <c r="H9" s="7">
        <v>10061</v>
      </c>
      <c r="I9" s="7">
        <v>9799</v>
      </c>
      <c r="J9" s="7">
        <v>9782</v>
      </c>
      <c r="K9" s="7">
        <v>9746</v>
      </c>
    </row>
    <row r="10" spans="1:11" ht="24" x14ac:dyDescent="0.3">
      <c r="A10" s="2" t="s">
        <v>623</v>
      </c>
      <c r="B10" s="7">
        <v>29582</v>
      </c>
      <c r="C10" s="7" t="s">
        <v>646</v>
      </c>
      <c r="D10" s="7" t="s">
        <v>628</v>
      </c>
      <c r="E10" s="7" t="s">
        <v>634</v>
      </c>
      <c r="F10" s="7" t="s">
        <v>640</v>
      </c>
      <c r="G10" s="7">
        <v>21918</v>
      </c>
      <c r="H10" s="7">
        <v>20606</v>
      </c>
      <c r="I10" s="7">
        <v>18856</v>
      </c>
      <c r="J10" s="7">
        <v>17459</v>
      </c>
      <c r="K10" s="7">
        <v>16049</v>
      </c>
    </row>
    <row r="11" spans="1:11" ht="48.6" customHeight="1" x14ac:dyDescent="0.3">
      <c r="A11" s="2" t="s">
        <v>624</v>
      </c>
      <c r="B11" s="7">
        <v>-2100</v>
      </c>
      <c r="C11" s="7">
        <v>-2354</v>
      </c>
      <c r="D11" s="7">
        <v>-3711</v>
      </c>
      <c r="E11" s="7">
        <v>-1133</v>
      </c>
      <c r="F11" s="7" t="s">
        <v>641</v>
      </c>
      <c r="G11" s="7">
        <v>-876</v>
      </c>
      <c r="H11" s="7">
        <v>-1356</v>
      </c>
      <c r="I11" s="7">
        <v>-1009</v>
      </c>
      <c r="J11" s="7">
        <v>-2040</v>
      </c>
      <c r="K11" s="7">
        <v>-1442</v>
      </c>
    </row>
    <row r="12" spans="1:11" ht="14.4" customHeight="1" x14ac:dyDescent="0.3">
      <c r="A12" s="2" t="s">
        <v>625</v>
      </c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ht="22.8" x14ac:dyDescent="0.3">
      <c r="A13" s="3" t="s">
        <v>621</v>
      </c>
      <c r="B13" s="7" t="s">
        <v>649</v>
      </c>
      <c r="C13" s="7" t="s">
        <v>647</v>
      </c>
      <c r="D13" s="7" t="s">
        <v>629</v>
      </c>
      <c r="E13" s="7">
        <v>137897</v>
      </c>
      <c r="F13" s="7" t="s">
        <v>642</v>
      </c>
      <c r="G13" s="7">
        <v>146490</v>
      </c>
      <c r="H13" s="7">
        <v>123933</v>
      </c>
      <c r="I13" s="7">
        <v>136230</v>
      </c>
      <c r="J13" s="7">
        <v>121941</v>
      </c>
      <c r="K13" s="7">
        <v>104228</v>
      </c>
    </row>
    <row r="14" spans="1:11" x14ac:dyDescent="0.3">
      <c r="A14" s="3" t="s">
        <v>622</v>
      </c>
      <c r="B14" s="7">
        <v>-16198</v>
      </c>
      <c r="C14" s="7">
        <v>-15025</v>
      </c>
      <c r="D14" s="7">
        <v>-11336</v>
      </c>
      <c r="E14" s="7">
        <v>-10009</v>
      </c>
      <c r="F14" s="7">
        <v>-10609</v>
      </c>
      <c r="G14" s="7">
        <v>-10209</v>
      </c>
      <c r="H14" s="7">
        <f>-8715</f>
        <v>-8715</v>
      </c>
      <c r="I14" s="7">
        <v>-9029</v>
      </c>
      <c r="J14" s="7">
        <v>-7682</v>
      </c>
      <c r="K14" s="7">
        <v>-6457</v>
      </c>
    </row>
    <row r="15" spans="1:11" x14ac:dyDescent="0.3">
      <c r="A15" s="2" t="s">
        <v>626</v>
      </c>
      <c r="B15" s="7" t="s">
        <v>650</v>
      </c>
      <c r="C15" s="7">
        <v>23799</v>
      </c>
      <c r="D15" s="7">
        <v>25191</v>
      </c>
      <c r="E15" s="7" t="s">
        <v>635</v>
      </c>
      <c r="F15" s="7">
        <v>26200</v>
      </c>
      <c r="G15" s="7">
        <v>24431</v>
      </c>
      <c r="H15" s="7">
        <v>24790</v>
      </c>
      <c r="I15" s="7">
        <v>22317</v>
      </c>
      <c r="J15" s="7">
        <v>21219</v>
      </c>
      <c r="K15" s="7">
        <v>21135</v>
      </c>
    </row>
  </sheetData>
  <mergeCells count="3">
    <mergeCell ref="A1:K1"/>
    <mergeCell ref="A2:K2"/>
    <mergeCell ref="B3:K3"/>
  </mergeCells>
  <pageMargins left="1" right="1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 ratio data</vt:lpstr>
      <vt:lpstr>Balance Consolidated</vt:lpstr>
      <vt:lpstr>Statement of Income Consolidate</vt:lpstr>
      <vt:lpstr>Cash flow Consolidated</vt:lpstr>
      <vt:lpstr>Shareholders equity Consolidate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Sivaram S</dc:creator>
  <cp:lastModifiedBy>Sivaram Senthilkumar</cp:lastModifiedBy>
  <cp:lastPrinted>2025-03-21T11:26:07Z</cp:lastPrinted>
  <dcterms:created xsi:type="dcterms:W3CDTF">2015-06-05T18:17:20Z</dcterms:created>
  <dcterms:modified xsi:type="dcterms:W3CDTF">2025-05-09T16:01:07Z</dcterms:modified>
</cp:coreProperties>
</file>