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r\OneDrive\Desktop\Umass Acad\Spring\Project Budgeting\Proj 2 Sivaram\"/>
    </mc:Choice>
  </mc:AlternateContent>
  <xr:revisionPtr revIDLastSave="0" documentId="13_ncr:1_{E8AB6B50-D33B-46BA-913B-DAFDFB33A248}" xr6:coauthVersionLast="47" xr6:coauthVersionMax="47" xr10:uidLastSave="{00000000-0000-0000-0000-000000000000}"/>
  <bookViews>
    <workbookView xWindow="-108" yWindow="-108" windowWidth="23256" windowHeight="12456" tabRatio="884" xr2:uid="{F29ADC44-0825-4DCB-8CDC-154AD1B5E0E0}"/>
  </bookViews>
  <sheets>
    <sheet name="Financial Data" sheetId="2" r:id="rId1"/>
    <sheet name="Growth_Rate_Calculations" sheetId="1" r:id="rId2"/>
    <sheet name="CFAT Calculations Austin,TX" sheetId="3" r:id="rId3"/>
    <sheet name="CFAT Calculations Hyderabad,IND" sheetId="4" r:id="rId4"/>
    <sheet name="IRR, Payback,AW Austin,TX" sheetId="5" r:id="rId5"/>
    <sheet name="IRR, Payback,AW Hyderbad,I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D26" i="2"/>
  <c r="B26" i="2"/>
  <c r="G19" i="1"/>
  <c r="D19" i="1"/>
  <c r="K20" i="2"/>
  <c r="J20" i="2"/>
  <c r="I20" i="2"/>
  <c r="H20" i="2"/>
  <c r="G20" i="2"/>
  <c r="F20" i="2"/>
  <c r="E20" i="2"/>
  <c r="D20" i="2"/>
  <c r="C20" i="2"/>
  <c r="B20" i="2"/>
  <c r="N5" i="4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D5" i="4"/>
  <c r="D6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B5" i="4"/>
  <c r="L5" i="4" s="1"/>
  <c r="M5" i="4" s="1"/>
  <c r="E5" i="3"/>
  <c r="D5" i="3"/>
  <c r="D6" i="3" s="1"/>
  <c r="C5" i="3"/>
  <c r="B5" i="3"/>
  <c r="L5" i="3" s="1"/>
  <c r="M5" i="3" s="1"/>
  <c r="B44" i="6"/>
  <c r="B45" i="6"/>
  <c r="B49" i="6"/>
  <c r="B45" i="5"/>
  <c r="B49" i="5"/>
  <c r="B65" i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B44" i="5" s="1"/>
  <c r="K54" i="1"/>
  <c r="J54" i="1"/>
  <c r="I54" i="1"/>
  <c r="H54" i="1"/>
  <c r="G54" i="1"/>
  <c r="F54" i="1"/>
  <c r="E54" i="1"/>
  <c r="D54" i="1"/>
  <c r="C54" i="1"/>
  <c r="K49" i="1"/>
  <c r="J49" i="1"/>
  <c r="I49" i="1"/>
  <c r="H49" i="1"/>
  <c r="G49" i="1"/>
  <c r="F49" i="1"/>
  <c r="E49" i="1"/>
  <c r="D49" i="1"/>
  <c r="C49" i="1"/>
  <c r="K44" i="1"/>
  <c r="J44" i="1"/>
  <c r="I44" i="1"/>
  <c r="H44" i="1"/>
  <c r="G44" i="1"/>
  <c r="F44" i="1"/>
  <c r="E44" i="1"/>
  <c r="D44" i="1"/>
  <c r="C44" i="1"/>
  <c r="K39" i="1"/>
  <c r="J39" i="1"/>
  <c r="I39" i="1"/>
  <c r="H39" i="1"/>
  <c r="G39" i="1"/>
  <c r="F39" i="1"/>
  <c r="E39" i="1"/>
  <c r="D39" i="1"/>
  <c r="C39" i="1"/>
  <c r="K34" i="1"/>
  <c r="L34" i="1" s="1"/>
  <c r="M33" i="1" s="1"/>
  <c r="J34" i="1"/>
  <c r="I34" i="1"/>
  <c r="H34" i="1"/>
  <c r="G34" i="1"/>
  <c r="F34" i="1"/>
  <c r="E34" i="1"/>
  <c r="D34" i="1"/>
  <c r="C34" i="1"/>
  <c r="K29" i="1"/>
  <c r="J29" i="1"/>
  <c r="I29" i="1"/>
  <c r="H29" i="1"/>
  <c r="G29" i="1"/>
  <c r="F29" i="1"/>
  <c r="E29" i="1"/>
  <c r="D29" i="1"/>
  <c r="C29" i="1"/>
  <c r="K24" i="1"/>
  <c r="L24" i="1" s="1"/>
  <c r="J24" i="1"/>
  <c r="I24" i="1"/>
  <c r="H24" i="1"/>
  <c r="G24" i="1"/>
  <c r="F24" i="1"/>
  <c r="E24" i="1"/>
  <c r="D24" i="1"/>
  <c r="C24" i="1"/>
  <c r="K19" i="1"/>
  <c r="J19" i="1"/>
  <c r="I19" i="1"/>
  <c r="H19" i="1"/>
  <c r="F19" i="1"/>
  <c r="E19" i="1"/>
  <c r="C19" i="1"/>
  <c r="K14" i="1"/>
  <c r="J14" i="1"/>
  <c r="I14" i="1"/>
  <c r="H14" i="1"/>
  <c r="G14" i="1"/>
  <c r="F14" i="1"/>
  <c r="E14" i="1"/>
  <c r="D14" i="1"/>
  <c r="C14" i="1"/>
  <c r="K9" i="1"/>
  <c r="J9" i="1"/>
  <c r="I9" i="1"/>
  <c r="H9" i="1"/>
  <c r="G9" i="1"/>
  <c r="F9" i="1"/>
  <c r="E9" i="1"/>
  <c r="D9" i="1"/>
  <c r="C9" i="1"/>
  <c r="D4" i="1"/>
  <c r="E4" i="1"/>
  <c r="F4" i="1"/>
  <c r="G4" i="1"/>
  <c r="H4" i="1"/>
  <c r="I4" i="1"/>
  <c r="J4" i="1"/>
  <c r="K4" i="1"/>
  <c r="C4" i="1"/>
  <c r="I5" i="3" l="1"/>
  <c r="J5" i="3" s="1"/>
  <c r="K5" i="3" s="1"/>
  <c r="B6" i="3"/>
  <c r="B7" i="3" s="1"/>
  <c r="B8" i="3" s="1"/>
  <c r="B9" i="3" s="1"/>
  <c r="B10" i="3" s="1"/>
  <c r="B11" i="3" s="1"/>
  <c r="B12" i="3" s="1"/>
  <c r="D7" i="4"/>
  <c r="I6" i="4"/>
  <c r="J6" i="4" s="1"/>
  <c r="B6" i="4"/>
  <c r="I5" i="4"/>
  <c r="J5" i="4" s="1"/>
  <c r="K5" i="4" s="1"/>
  <c r="N5" i="3"/>
  <c r="E6" i="3"/>
  <c r="E7" i="3" s="1"/>
  <c r="E8" i="3" s="1"/>
  <c r="D7" i="3"/>
  <c r="I6" i="3"/>
  <c r="L6" i="3"/>
  <c r="D8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L19" i="1"/>
  <c r="M18" i="1" s="1"/>
  <c r="L29" i="1"/>
  <c r="M28" i="1" s="1"/>
  <c r="L39" i="1"/>
  <c r="M38" i="1" s="1"/>
  <c r="L44" i="1"/>
  <c r="M43" i="1" s="1"/>
  <c r="L54" i="1"/>
  <c r="M53" i="1" s="1"/>
  <c r="L49" i="1"/>
  <c r="M48" i="1" s="1"/>
  <c r="L14" i="1"/>
  <c r="M13" i="1" s="1"/>
  <c r="L9" i="1"/>
  <c r="M8" i="1" s="1"/>
  <c r="L4" i="1"/>
  <c r="M3" i="1" s="1"/>
  <c r="B47" i="6"/>
  <c r="B47" i="5"/>
  <c r="M23" i="1"/>
  <c r="L8" i="3" l="1"/>
  <c r="M8" i="3" s="1"/>
  <c r="N8" i="3" s="1"/>
  <c r="L11" i="3"/>
  <c r="L10" i="3"/>
  <c r="M10" i="3" s="1"/>
  <c r="I7" i="3"/>
  <c r="L7" i="3"/>
  <c r="B13" i="3"/>
  <c r="L12" i="3"/>
  <c r="M12" i="3" s="1"/>
  <c r="L9" i="3"/>
  <c r="B7" i="4"/>
  <c r="L6" i="4"/>
  <c r="M6" i="4" s="1"/>
  <c r="N6" i="4" s="1"/>
  <c r="K6" i="4"/>
  <c r="I7" i="4"/>
  <c r="J7" i="4" s="1"/>
  <c r="D8" i="4"/>
  <c r="J7" i="3"/>
  <c r="K7" i="3" s="1"/>
  <c r="M7" i="3"/>
  <c r="N7" i="3" s="1"/>
  <c r="M11" i="3"/>
  <c r="M6" i="3"/>
  <c r="N6" i="3" s="1"/>
  <c r="M9" i="3"/>
  <c r="J6" i="3"/>
  <c r="K6" i="3" s="1"/>
  <c r="E9" i="3"/>
  <c r="D9" i="3"/>
  <c r="I8" i="3"/>
  <c r="J8" i="3" s="1"/>
  <c r="K8" i="3" s="1"/>
  <c r="B14" i="3" l="1"/>
  <c r="L13" i="3"/>
  <c r="M13" i="3" s="1"/>
  <c r="D9" i="4"/>
  <c r="I8" i="4"/>
  <c r="J8" i="4" s="1"/>
  <c r="B8" i="4"/>
  <c r="L7" i="4"/>
  <c r="M7" i="4" s="1"/>
  <c r="N7" i="4" s="1"/>
  <c r="K7" i="4"/>
  <c r="N9" i="3"/>
  <c r="E10" i="3"/>
  <c r="I9" i="3"/>
  <c r="J9" i="3" s="1"/>
  <c r="K9" i="3" s="1"/>
  <c r="D10" i="3"/>
  <c r="B15" i="3" l="1"/>
  <c r="L14" i="3"/>
  <c r="M14" i="3" s="1"/>
  <c r="L8" i="4"/>
  <c r="M8" i="4" s="1"/>
  <c r="N8" i="4" s="1"/>
  <c r="K8" i="4"/>
  <c r="B9" i="4"/>
  <c r="D10" i="4"/>
  <c r="I9" i="4"/>
  <c r="J9" i="4" s="1"/>
  <c r="N10" i="3"/>
  <c r="E11" i="3"/>
  <c r="I10" i="3"/>
  <c r="J10" i="3" s="1"/>
  <c r="K10" i="3" s="1"/>
  <c r="D11" i="3"/>
  <c r="B16" i="3" l="1"/>
  <c r="L15" i="3"/>
  <c r="M15" i="3" s="1"/>
  <c r="L9" i="4"/>
  <c r="M9" i="4" s="1"/>
  <c r="N9" i="4" s="1"/>
  <c r="K9" i="4"/>
  <c r="B10" i="4"/>
  <c r="D11" i="4"/>
  <c r="I10" i="4"/>
  <c r="J10" i="4" s="1"/>
  <c r="N11" i="3"/>
  <c r="E12" i="3"/>
  <c r="I11" i="3"/>
  <c r="J11" i="3" s="1"/>
  <c r="K11" i="3" s="1"/>
  <c r="D12" i="3"/>
  <c r="B17" i="3" l="1"/>
  <c r="L16" i="3"/>
  <c r="M16" i="3" s="1"/>
  <c r="D12" i="4"/>
  <c r="I11" i="4"/>
  <c r="J11" i="4" s="1"/>
  <c r="K10" i="4"/>
  <c r="B11" i="4"/>
  <c r="L10" i="4"/>
  <c r="M10" i="4" s="1"/>
  <c r="N10" i="4" s="1"/>
  <c r="N12" i="3"/>
  <c r="E13" i="3"/>
  <c r="I12" i="3"/>
  <c r="J12" i="3" s="1"/>
  <c r="K12" i="3" s="1"/>
  <c r="D13" i="3"/>
  <c r="B18" i="3" l="1"/>
  <c r="L17" i="3"/>
  <c r="M17" i="3" s="1"/>
  <c r="D13" i="4"/>
  <c r="I12" i="4"/>
  <c r="J12" i="4" s="1"/>
  <c r="B12" i="4"/>
  <c r="L11" i="4"/>
  <c r="M11" i="4" s="1"/>
  <c r="N11" i="4" s="1"/>
  <c r="K11" i="4"/>
  <c r="E14" i="3"/>
  <c r="N13" i="3"/>
  <c r="D14" i="3"/>
  <c r="I13" i="3"/>
  <c r="J13" i="3" s="1"/>
  <c r="K13" i="3" s="1"/>
  <c r="B19" i="3" l="1"/>
  <c r="L18" i="3"/>
  <c r="M18" i="3" s="1"/>
  <c r="D14" i="4"/>
  <c r="I13" i="4"/>
  <c r="J13" i="4" s="1"/>
  <c r="L12" i="4"/>
  <c r="M12" i="4" s="1"/>
  <c r="N12" i="4" s="1"/>
  <c r="B13" i="4"/>
  <c r="K12" i="4"/>
  <c r="E15" i="3"/>
  <c r="N14" i="3"/>
  <c r="D15" i="3"/>
  <c r="I14" i="3"/>
  <c r="J14" i="3" s="1"/>
  <c r="K14" i="3" s="1"/>
  <c r="B20" i="3" l="1"/>
  <c r="L19" i="3"/>
  <c r="M19" i="3" s="1"/>
  <c r="D15" i="4"/>
  <c r="I14" i="4"/>
  <c r="J14" i="4" s="1"/>
  <c r="L13" i="4"/>
  <c r="M13" i="4" s="1"/>
  <c r="N13" i="4" s="1"/>
  <c r="K13" i="4"/>
  <c r="B14" i="4"/>
  <c r="N15" i="3"/>
  <c r="E16" i="3"/>
  <c r="I15" i="3"/>
  <c r="J15" i="3" s="1"/>
  <c r="K15" i="3" s="1"/>
  <c r="D16" i="3"/>
  <c r="B21" i="3" l="1"/>
  <c r="L20" i="3"/>
  <c r="M20" i="3" s="1"/>
  <c r="I15" i="4"/>
  <c r="J15" i="4" s="1"/>
  <c r="D16" i="4"/>
  <c r="B15" i="4"/>
  <c r="L14" i="4"/>
  <c r="M14" i="4" s="1"/>
  <c r="N14" i="4" s="1"/>
  <c r="K14" i="4"/>
  <c r="N16" i="3"/>
  <c r="E17" i="3"/>
  <c r="D17" i="3"/>
  <c r="I16" i="3"/>
  <c r="J16" i="3" s="1"/>
  <c r="K16" i="3" s="1"/>
  <c r="B22" i="3" l="1"/>
  <c r="L21" i="3"/>
  <c r="M21" i="3" s="1"/>
  <c r="B16" i="4"/>
  <c r="L15" i="4"/>
  <c r="M15" i="4" s="1"/>
  <c r="N15" i="4" s="1"/>
  <c r="K15" i="4"/>
  <c r="D17" i="4"/>
  <c r="I16" i="4"/>
  <c r="J16" i="4" s="1"/>
  <c r="N17" i="3"/>
  <c r="E18" i="3"/>
  <c r="I17" i="3"/>
  <c r="J17" i="3" s="1"/>
  <c r="K17" i="3" s="1"/>
  <c r="D18" i="3"/>
  <c r="B23" i="3" l="1"/>
  <c r="L22" i="3"/>
  <c r="M22" i="3" s="1"/>
  <c r="D18" i="4"/>
  <c r="I17" i="4"/>
  <c r="J17" i="4" s="1"/>
  <c r="B17" i="4"/>
  <c r="L16" i="4"/>
  <c r="M16" i="4" s="1"/>
  <c r="N16" i="4" s="1"/>
  <c r="K16" i="4"/>
  <c r="N18" i="3"/>
  <c r="E19" i="3"/>
  <c r="I18" i="3"/>
  <c r="J18" i="3" s="1"/>
  <c r="K18" i="3" s="1"/>
  <c r="D19" i="3"/>
  <c r="B24" i="3" l="1"/>
  <c r="L23" i="3"/>
  <c r="M23" i="3" s="1"/>
  <c r="L17" i="4"/>
  <c r="M17" i="4" s="1"/>
  <c r="N17" i="4" s="1"/>
  <c r="K17" i="4"/>
  <c r="B18" i="4"/>
  <c r="D19" i="4"/>
  <c r="I18" i="4"/>
  <c r="J18" i="4" s="1"/>
  <c r="N19" i="3"/>
  <c r="E20" i="3"/>
  <c r="I19" i="3"/>
  <c r="J19" i="3" s="1"/>
  <c r="K19" i="3" s="1"/>
  <c r="D20" i="3"/>
  <c r="B25" i="3" l="1"/>
  <c r="L24" i="3"/>
  <c r="M24" i="3" s="1"/>
  <c r="D20" i="4"/>
  <c r="I19" i="4"/>
  <c r="J19" i="4" s="1"/>
  <c r="B19" i="4"/>
  <c r="L18" i="4"/>
  <c r="M18" i="4" s="1"/>
  <c r="N18" i="4" s="1"/>
  <c r="K18" i="4"/>
  <c r="N20" i="3"/>
  <c r="E21" i="3"/>
  <c r="I20" i="3"/>
  <c r="J20" i="3" s="1"/>
  <c r="K20" i="3" s="1"/>
  <c r="D21" i="3"/>
  <c r="B26" i="3" l="1"/>
  <c r="L25" i="3"/>
  <c r="M25" i="3" s="1"/>
  <c r="B20" i="4"/>
  <c r="L19" i="4"/>
  <c r="M19" i="4" s="1"/>
  <c r="N19" i="4" s="1"/>
  <c r="K19" i="4"/>
  <c r="D21" i="4"/>
  <c r="I20" i="4"/>
  <c r="J20" i="4" s="1"/>
  <c r="E22" i="3"/>
  <c r="N21" i="3"/>
  <c r="D22" i="3"/>
  <c r="I21" i="3"/>
  <c r="J21" i="3" s="1"/>
  <c r="K21" i="3" s="1"/>
  <c r="B27" i="3" l="1"/>
  <c r="L26" i="3"/>
  <c r="M26" i="3" s="1"/>
  <c r="L20" i="4"/>
  <c r="M20" i="4" s="1"/>
  <c r="N20" i="4" s="1"/>
  <c r="K20" i="4"/>
  <c r="B21" i="4"/>
  <c r="D22" i="4"/>
  <c r="I21" i="4"/>
  <c r="J21" i="4" s="1"/>
  <c r="E23" i="3"/>
  <c r="N22" i="3"/>
  <c r="D23" i="3"/>
  <c r="I22" i="3"/>
  <c r="J22" i="3" s="1"/>
  <c r="K22" i="3" s="1"/>
  <c r="B28" i="3" l="1"/>
  <c r="L27" i="3"/>
  <c r="M27" i="3" s="1"/>
  <c r="D23" i="4"/>
  <c r="I22" i="4"/>
  <c r="J22" i="4" s="1"/>
  <c r="L21" i="4"/>
  <c r="M21" i="4" s="1"/>
  <c r="N21" i="4" s="1"/>
  <c r="K21" i="4"/>
  <c r="B22" i="4"/>
  <c r="N23" i="3"/>
  <c r="E24" i="3"/>
  <c r="D24" i="3"/>
  <c r="I23" i="3"/>
  <c r="J23" i="3" s="1"/>
  <c r="K23" i="3" s="1"/>
  <c r="B29" i="3" l="1"/>
  <c r="L28" i="3"/>
  <c r="M28" i="3" s="1"/>
  <c r="B23" i="4"/>
  <c r="L22" i="4"/>
  <c r="M22" i="4" s="1"/>
  <c r="N22" i="4" s="1"/>
  <c r="K22" i="4"/>
  <c r="D24" i="4"/>
  <c r="I23" i="4"/>
  <c r="J23" i="4" s="1"/>
  <c r="N24" i="3"/>
  <c r="E25" i="3"/>
  <c r="D25" i="3"/>
  <c r="I24" i="3"/>
  <c r="J24" i="3" s="1"/>
  <c r="K24" i="3" s="1"/>
  <c r="B30" i="3" l="1"/>
  <c r="L29" i="3"/>
  <c r="M29" i="3" s="1"/>
  <c r="D25" i="4"/>
  <c r="I24" i="4"/>
  <c r="J24" i="4" s="1"/>
  <c r="B24" i="4"/>
  <c r="L23" i="4"/>
  <c r="M23" i="4" s="1"/>
  <c r="N23" i="4" s="1"/>
  <c r="K23" i="4"/>
  <c r="N25" i="3"/>
  <c r="E26" i="3"/>
  <c r="D26" i="3"/>
  <c r="I25" i="3"/>
  <c r="J25" i="3" s="1"/>
  <c r="K25" i="3" s="1"/>
  <c r="B31" i="3" l="1"/>
  <c r="L30" i="3"/>
  <c r="M30" i="3" s="1"/>
  <c r="L24" i="4"/>
  <c r="M24" i="4" s="1"/>
  <c r="N24" i="4" s="1"/>
  <c r="K24" i="4"/>
  <c r="B25" i="4"/>
  <c r="D26" i="4"/>
  <c r="I25" i="4"/>
  <c r="J25" i="4" s="1"/>
  <c r="N26" i="3"/>
  <c r="E27" i="3"/>
  <c r="I26" i="3"/>
  <c r="J26" i="3" s="1"/>
  <c r="K26" i="3" s="1"/>
  <c r="D27" i="3"/>
  <c r="B32" i="3" l="1"/>
  <c r="L31" i="3"/>
  <c r="M31" i="3" s="1"/>
  <c r="D27" i="4"/>
  <c r="I26" i="4"/>
  <c r="J26" i="4" s="1"/>
  <c r="L25" i="4"/>
  <c r="M25" i="4" s="1"/>
  <c r="N25" i="4" s="1"/>
  <c r="K25" i="4"/>
  <c r="B26" i="4"/>
  <c r="N27" i="3"/>
  <c r="E28" i="3"/>
  <c r="I27" i="3"/>
  <c r="J27" i="3" s="1"/>
  <c r="K27" i="3" s="1"/>
  <c r="D28" i="3"/>
  <c r="B33" i="3" l="1"/>
  <c r="L32" i="3"/>
  <c r="M32" i="3" s="1"/>
  <c r="B27" i="4"/>
  <c r="K26" i="4"/>
  <c r="L26" i="4"/>
  <c r="M26" i="4" s="1"/>
  <c r="N26" i="4" s="1"/>
  <c r="I27" i="4"/>
  <c r="J27" i="4" s="1"/>
  <c r="D28" i="4"/>
  <c r="N28" i="3"/>
  <c r="E29" i="3"/>
  <c r="I28" i="3"/>
  <c r="J28" i="3" s="1"/>
  <c r="K28" i="3" s="1"/>
  <c r="D29" i="3"/>
  <c r="B34" i="3" l="1"/>
  <c r="L33" i="3"/>
  <c r="M33" i="3" s="1"/>
  <c r="D29" i="4"/>
  <c r="I28" i="4"/>
  <c r="J28" i="4" s="1"/>
  <c r="B28" i="4"/>
  <c r="L27" i="4"/>
  <c r="M27" i="4" s="1"/>
  <c r="N27" i="4" s="1"/>
  <c r="K27" i="4"/>
  <c r="E30" i="3"/>
  <c r="N29" i="3"/>
  <c r="D30" i="3"/>
  <c r="I29" i="3"/>
  <c r="J29" i="3" s="1"/>
  <c r="K29" i="3" s="1"/>
  <c r="B35" i="3" l="1"/>
  <c r="L34" i="3"/>
  <c r="M34" i="3" s="1"/>
  <c r="D30" i="4"/>
  <c r="I29" i="4"/>
  <c r="J29" i="4" s="1"/>
  <c r="L28" i="4"/>
  <c r="M28" i="4" s="1"/>
  <c r="N28" i="4" s="1"/>
  <c r="K28" i="4"/>
  <c r="B29" i="4"/>
  <c r="E31" i="3"/>
  <c r="N30" i="3"/>
  <c r="D31" i="3"/>
  <c r="I30" i="3"/>
  <c r="J30" i="3" s="1"/>
  <c r="K30" i="3" s="1"/>
  <c r="B36" i="3" l="1"/>
  <c r="L35" i="3"/>
  <c r="M35" i="3" s="1"/>
  <c r="D31" i="4"/>
  <c r="I30" i="4"/>
  <c r="J30" i="4" s="1"/>
  <c r="L29" i="4"/>
  <c r="M29" i="4" s="1"/>
  <c r="N29" i="4" s="1"/>
  <c r="K29" i="4"/>
  <c r="B30" i="4"/>
  <c r="N31" i="3"/>
  <c r="E32" i="3"/>
  <c r="D32" i="3"/>
  <c r="I31" i="3"/>
  <c r="J31" i="3" s="1"/>
  <c r="K31" i="3" s="1"/>
  <c r="B37" i="3" l="1"/>
  <c r="L36" i="3"/>
  <c r="M36" i="3" s="1"/>
  <c r="K30" i="4"/>
  <c r="B31" i="4"/>
  <c r="L30" i="4"/>
  <c r="M30" i="4" s="1"/>
  <c r="N30" i="4" s="1"/>
  <c r="D32" i="4"/>
  <c r="I31" i="4"/>
  <c r="J31" i="4" s="1"/>
  <c r="N32" i="3"/>
  <c r="E33" i="3"/>
  <c r="D33" i="3"/>
  <c r="I32" i="3"/>
  <c r="J32" i="3" s="1"/>
  <c r="K32" i="3" s="1"/>
  <c r="B38" i="3" l="1"/>
  <c r="L37" i="3"/>
  <c r="M37" i="3" s="1"/>
  <c r="D33" i="4"/>
  <c r="I32" i="4"/>
  <c r="J32" i="4" s="1"/>
  <c r="B32" i="4"/>
  <c r="L31" i="4"/>
  <c r="M31" i="4" s="1"/>
  <c r="N31" i="4" s="1"/>
  <c r="K31" i="4"/>
  <c r="N33" i="3"/>
  <c r="E34" i="3"/>
  <c r="D34" i="3"/>
  <c r="I33" i="3"/>
  <c r="J33" i="3" s="1"/>
  <c r="K33" i="3" s="1"/>
  <c r="B39" i="3" l="1"/>
  <c r="L38" i="3"/>
  <c r="M38" i="3" s="1"/>
  <c r="L32" i="4"/>
  <c r="M32" i="4" s="1"/>
  <c r="N32" i="4" s="1"/>
  <c r="K32" i="4"/>
  <c r="B33" i="4"/>
  <c r="D34" i="4"/>
  <c r="I33" i="4"/>
  <c r="J33" i="4" s="1"/>
  <c r="N34" i="3"/>
  <c r="E35" i="3"/>
  <c r="I34" i="3"/>
  <c r="J34" i="3" s="1"/>
  <c r="K34" i="3" s="1"/>
  <c r="D35" i="3"/>
  <c r="B40" i="3" l="1"/>
  <c r="L39" i="3"/>
  <c r="M39" i="3" s="1"/>
  <c r="D35" i="4"/>
  <c r="I34" i="4"/>
  <c r="J34" i="4" s="1"/>
  <c r="L33" i="4"/>
  <c r="M33" i="4" s="1"/>
  <c r="N33" i="4" s="1"/>
  <c r="K33" i="4"/>
  <c r="B34" i="4"/>
  <c r="N35" i="3"/>
  <c r="E36" i="3"/>
  <c r="I35" i="3"/>
  <c r="J35" i="3" s="1"/>
  <c r="K35" i="3" s="1"/>
  <c r="D36" i="3"/>
  <c r="B41" i="3" l="1"/>
  <c r="L40" i="3"/>
  <c r="M40" i="3" s="1"/>
  <c r="D36" i="4"/>
  <c r="I35" i="4"/>
  <c r="J35" i="4" s="1"/>
  <c r="B35" i="4"/>
  <c r="K34" i="4"/>
  <c r="L34" i="4"/>
  <c r="M34" i="4" s="1"/>
  <c r="N34" i="4" s="1"/>
  <c r="N36" i="3"/>
  <c r="E37" i="3"/>
  <c r="I36" i="3"/>
  <c r="J36" i="3" s="1"/>
  <c r="K36" i="3" s="1"/>
  <c r="D37" i="3"/>
  <c r="B42" i="3" l="1"/>
  <c r="L41" i="3"/>
  <c r="M41" i="3" s="1"/>
  <c r="B36" i="4"/>
  <c r="L35" i="4"/>
  <c r="M35" i="4" s="1"/>
  <c r="N35" i="4" s="1"/>
  <c r="K35" i="4"/>
  <c r="D37" i="4"/>
  <c r="I36" i="4"/>
  <c r="J36" i="4" s="1"/>
  <c r="E38" i="3"/>
  <c r="N37" i="3"/>
  <c r="D38" i="3"/>
  <c r="I37" i="3"/>
  <c r="J37" i="3" s="1"/>
  <c r="K37" i="3" s="1"/>
  <c r="B43" i="3" l="1"/>
  <c r="L42" i="3"/>
  <c r="M42" i="3" s="1"/>
  <c r="D38" i="4"/>
  <c r="I37" i="4"/>
  <c r="J37" i="4" s="1"/>
  <c r="L36" i="4"/>
  <c r="M36" i="4" s="1"/>
  <c r="N36" i="4" s="1"/>
  <c r="K36" i="4"/>
  <c r="B37" i="4"/>
  <c r="E39" i="3"/>
  <c r="N38" i="3"/>
  <c r="I38" i="3"/>
  <c r="J38" i="3" s="1"/>
  <c r="K38" i="3" s="1"/>
  <c r="D39" i="3"/>
  <c r="L43" i="3" l="1"/>
  <c r="M43" i="3" s="1"/>
  <c r="B44" i="3"/>
  <c r="L44" i="3" s="1"/>
  <c r="M44" i="3" s="1"/>
  <c r="L37" i="4"/>
  <c r="M37" i="4" s="1"/>
  <c r="N37" i="4" s="1"/>
  <c r="K37" i="4"/>
  <c r="B38" i="4"/>
  <c r="D39" i="4"/>
  <c r="I38" i="4"/>
  <c r="J38" i="4" s="1"/>
  <c r="N39" i="3"/>
  <c r="E40" i="3"/>
  <c r="I39" i="3"/>
  <c r="J39" i="3" s="1"/>
  <c r="K39" i="3" s="1"/>
  <c r="D40" i="3"/>
  <c r="I39" i="4" l="1"/>
  <c r="J39" i="4" s="1"/>
  <c r="D40" i="4"/>
  <c r="B39" i="4"/>
  <c r="K38" i="4"/>
  <c r="L38" i="4"/>
  <c r="M38" i="4" s="1"/>
  <c r="N38" i="4" s="1"/>
  <c r="N40" i="3"/>
  <c r="E41" i="3"/>
  <c r="D41" i="3"/>
  <c r="I40" i="3"/>
  <c r="J40" i="3" s="1"/>
  <c r="K40" i="3" s="1"/>
  <c r="B40" i="4" l="1"/>
  <c r="L39" i="4"/>
  <c r="M39" i="4" s="1"/>
  <c r="N39" i="4" s="1"/>
  <c r="K39" i="4"/>
  <c r="D41" i="4"/>
  <c r="I40" i="4"/>
  <c r="J40" i="4" s="1"/>
  <c r="N41" i="3"/>
  <c r="E42" i="3"/>
  <c r="I41" i="3"/>
  <c r="J41" i="3" s="1"/>
  <c r="K41" i="3" s="1"/>
  <c r="D42" i="3"/>
  <c r="L40" i="4" l="1"/>
  <c r="M40" i="4" s="1"/>
  <c r="N40" i="4" s="1"/>
  <c r="K40" i="4"/>
  <c r="B41" i="4"/>
  <c r="D42" i="4"/>
  <c r="I41" i="4"/>
  <c r="J41" i="4" s="1"/>
  <c r="N42" i="3"/>
  <c r="E43" i="3"/>
  <c r="I42" i="3"/>
  <c r="J42" i="3" s="1"/>
  <c r="K42" i="3" s="1"/>
  <c r="D43" i="3"/>
  <c r="L41" i="4" l="1"/>
  <c r="M41" i="4" s="1"/>
  <c r="N41" i="4" s="1"/>
  <c r="K41" i="4"/>
  <c r="B42" i="4"/>
  <c r="D43" i="4"/>
  <c r="I42" i="4"/>
  <c r="J42" i="4" s="1"/>
  <c r="N43" i="3"/>
  <c r="E44" i="3"/>
  <c r="N44" i="3" s="1"/>
  <c r="I43" i="3"/>
  <c r="J43" i="3" s="1"/>
  <c r="K43" i="3" s="1"/>
  <c r="D44" i="3"/>
  <c r="B43" i="4" l="1"/>
  <c r="K42" i="4"/>
  <c r="L42" i="4"/>
  <c r="M42" i="4" s="1"/>
  <c r="N42" i="4" s="1"/>
  <c r="I43" i="4"/>
  <c r="J43" i="4" s="1"/>
  <c r="D44" i="4"/>
  <c r="I44" i="4" s="1"/>
  <c r="J44" i="4" s="1"/>
  <c r="I44" i="3"/>
  <c r="J44" i="3" s="1"/>
  <c r="K44" i="3" s="1"/>
  <c r="B44" i="4" l="1"/>
  <c r="L43" i="4"/>
  <c r="M43" i="4" s="1"/>
  <c r="N43" i="4" s="1"/>
  <c r="K43" i="4"/>
  <c r="L44" i="4" l="1"/>
  <c r="M44" i="4" s="1"/>
  <c r="N44" i="4" s="1"/>
  <c r="K44" i="4"/>
</calcChain>
</file>

<file path=xl/sharedStrings.xml><?xml version="1.0" encoding="utf-8"?>
<sst xmlns="http://schemas.openxmlformats.org/spreadsheetml/2006/main" count="236" uniqueCount="130">
  <si>
    <t>Financial Data/Years</t>
  </si>
  <si>
    <t>Sales</t>
  </si>
  <si>
    <t>Sales Growth</t>
  </si>
  <si>
    <t>M &amp; O Costs</t>
  </si>
  <si>
    <t>M &amp; O Growth</t>
  </si>
  <si>
    <t>Depreciation</t>
  </si>
  <si>
    <t>Depreciation Growth</t>
  </si>
  <si>
    <t>Annual Effective Tax Rate</t>
  </si>
  <si>
    <t>Tax Rate Growth</t>
  </si>
  <si>
    <t>Interest Expense</t>
  </si>
  <si>
    <t>Expense Growth</t>
  </si>
  <si>
    <t>Net Income</t>
  </si>
  <si>
    <t>Monthly Mortgage Payment</t>
  </si>
  <si>
    <t>Profit Margin</t>
  </si>
  <si>
    <t>ROE</t>
  </si>
  <si>
    <t>ROI</t>
  </si>
  <si>
    <t>Current Assets</t>
  </si>
  <si>
    <t>Current Liabilities</t>
  </si>
  <si>
    <t>Inventories</t>
  </si>
  <si>
    <t>Cash</t>
  </si>
  <si>
    <t>Receivables</t>
  </si>
  <si>
    <t>Total Assets</t>
  </si>
  <si>
    <t>Total Liabilities</t>
  </si>
  <si>
    <t>Total Equity</t>
  </si>
  <si>
    <t>Cost of Goods Sold</t>
  </si>
  <si>
    <t>N/A</t>
  </si>
  <si>
    <t>EBIT</t>
  </si>
  <si>
    <t>Long Term Liabilities</t>
  </si>
  <si>
    <t>Labor Costs</t>
  </si>
  <si>
    <t>Labor Cost Growth</t>
  </si>
  <si>
    <t>Years</t>
  </si>
  <si>
    <t>Revenues</t>
  </si>
  <si>
    <t>Tax Expenses</t>
  </si>
  <si>
    <t>Labor Cost</t>
  </si>
  <si>
    <t>M&amp;O Cost</t>
  </si>
  <si>
    <t>Salvage Value</t>
  </si>
  <si>
    <t>Loan</t>
  </si>
  <si>
    <t>Expense for Facility</t>
  </si>
  <si>
    <t>Total</t>
  </si>
  <si>
    <t>Gross Income</t>
  </si>
  <si>
    <t>CFBT</t>
  </si>
  <si>
    <t>CFAT</t>
  </si>
  <si>
    <t>Cash Flow</t>
  </si>
  <si>
    <t>Cumulative Cash Flow</t>
  </si>
  <si>
    <t>Initial Investment</t>
  </si>
  <si>
    <t>Cash Flow Year 1</t>
  </si>
  <si>
    <t>Cash Flow Year 2</t>
  </si>
  <si>
    <t>Cash Flow Year 3</t>
  </si>
  <si>
    <t>Cash Flow Year 4</t>
  </si>
  <si>
    <t>Cash Flow Year 5</t>
  </si>
  <si>
    <t>Cash Flow Year 6</t>
  </si>
  <si>
    <t>Cash Flow Year 7</t>
  </si>
  <si>
    <t>Cash Flow Year 8</t>
  </si>
  <si>
    <t>Cash Flow Year 9</t>
  </si>
  <si>
    <t>Cash Flow Year 10</t>
  </si>
  <si>
    <t>Cash Flow Year 11</t>
  </si>
  <si>
    <t>Cash Flow Year 12</t>
  </si>
  <si>
    <t>Cash Flow Year 13</t>
  </si>
  <si>
    <t>Cash Flow Year 14</t>
  </si>
  <si>
    <t>Cash Flow Year 15</t>
  </si>
  <si>
    <t>Cash Flow Year 16</t>
  </si>
  <si>
    <t>Cash Flow Year 17</t>
  </si>
  <si>
    <t>Cash Flow Year 18</t>
  </si>
  <si>
    <t>Cash Flow Year 19</t>
  </si>
  <si>
    <t>Cash Flow Year 20</t>
  </si>
  <si>
    <t>Cash Flow Year 21</t>
  </si>
  <si>
    <t>Cash Flow Year 22</t>
  </si>
  <si>
    <t>Cash Flow Year 23</t>
  </si>
  <si>
    <t>Cash Flow Year 24</t>
  </si>
  <si>
    <t>Cash Flow Year 25</t>
  </si>
  <si>
    <t>Cash Flow Year 26</t>
  </si>
  <si>
    <t>Cash Flow Year 27</t>
  </si>
  <si>
    <t>Cash Flow Year 28</t>
  </si>
  <si>
    <t>Cash Flow Year 29</t>
  </si>
  <si>
    <t>Cash Flow Year 30</t>
  </si>
  <si>
    <t>Cash Flow Year 31</t>
  </si>
  <si>
    <t>Cash Flow Year 32</t>
  </si>
  <si>
    <t>Cash Flow Year 33</t>
  </si>
  <si>
    <t>Cash Flow Year 34</t>
  </si>
  <si>
    <t>Cash Flow Year 35</t>
  </si>
  <si>
    <t>Cash Flow Year 36</t>
  </si>
  <si>
    <t>Cash Flow Year 37</t>
  </si>
  <si>
    <t>Cash Flow Year 38</t>
  </si>
  <si>
    <t>Cash Flow Year 39</t>
  </si>
  <si>
    <t>Cash Flow Year 40</t>
  </si>
  <si>
    <t>IRR</t>
  </si>
  <si>
    <t>Payback</t>
  </si>
  <si>
    <t>39 years</t>
  </si>
  <si>
    <t>AW</t>
  </si>
  <si>
    <t>Required Return</t>
  </si>
  <si>
    <t>NPV</t>
  </si>
  <si>
    <t>No. Periods (Years)</t>
  </si>
  <si>
    <t>Revenue</t>
  </si>
  <si>
    <t>Revenue Growth</t>
  </si>
  <si>
    <t>Estimated Project Life (Years)</t>
  </si>
  <si>
    <t>Net Income Growth</t>
  </si>
  <si>
    <t>2025 (ESTIMATE)</t>
  </si>
  <si>
    <t>Initial Investment = 13355.41*15/100</t>
  </si>
  <si>
    <t>Income tax expense</t>
  </si>
  <si>
    <t xml:space="preserve">Income Tax Expense </t>
  </si>
  <si>
    <t>Net income</t>
  </si>
  <si>
    <t>Annual Effective Tax Rate =</t>
  </si>
  <si>
    <t>=</t>
  </si>
  <si>
    <t>Te = local rates + (1 - local rates) * federal rate</t>
  </si>
  <si>
    <t xml:space="preserve">0 + (1 - 0) * 0.21 = 0 + 1 * 0.21 = 0.21 </t>
  </si>
  <si>
    <t>Financial Data for State Street Corporation in USD (All figures in Millions of Dollars)</t>
  </si>
  <si>
    <t>Sales (All figures in Millions of Dollars)</t>
  </si>
  <si>
    <t>M&amp;O Costs (All figures in Millions of Dollars)</t>
  </si>
  <si>
    <t>Depreciation (All figures in Millions of Dollars)</t>
  </si>
  <si>
    <t>Expenses (Interest Expense, All figures in Millions of Dollars)</t>
  </si>
  <si>
    <t>Net Income (All figures in Millions of Dollars)</t>
  </si>
  <si>
    <t>Monthly Mortgage Payment (All figures in Millions of Dollars)</t>
  </si>
  <si>
    <t xml:space="preserve"> Profit Margin (%)</t>
  </si>
  <si>
    <t>ROE (%)</t>
  </si>
  <si>
    <t>ROI (%)</t>
  </si>
  <si>
    <t>ROE Growth</t>
  </si>
  <si>
    <t>ROI Growth</t>
  </si>
  <si>
    <t>Labor Costs (Estimated, 10% of M&amp;O Costs, in Millions of Dollars)</t>
  </si>
  <si>
    <t>Revenue Projections (All figures in Millions of Dollars)</t>
  </si>
  <si>
    <t>Estimated Project Life</t>
  </si>
  <si>
    <t>Profit Margin Growth</t>
  </si>
  <si>
    <t>Monthly Mortgage Payment Growth</t>
  </si>
  <si>
    <t>CFAT Calculations for the Facility in Austin, TX (All figures in Millions of Dollars)</t>
  </si>
  <si>
    <t>CFAT Calculations for the Facility in Hyderabad, India (All figures in Millions of Dollars)</t>
  </si>
  <si>
    <t>IRR, Payback, and Annual Worth for Austin, TX (All figures in Millions of Dollars)</t>
  </si>
  <si>
    <t>IRR, Payback, and Annual Worth for Hyderabad, India (All figures in Millions of Dollars)</t>
  </si>
  <si>
    <t>0.05 + (1 - 0.05) * 0.8 = 0.05 + 0.95 * 0.8  = 0.5 + 0.76  = 0.126</t>
  </si>
  <si>
    <t>Interest percentage</t>
  </si>
  <si>
    <t>Interest expense</t>
  </si>
  <si>
    <r>
      <t xml:space="preserve">State Street Financial Data Analysis - </t>
    </r>
    <r>
      <rPr>
        <b/>
        <sz val="11"/>
        <color theme="1"/>
        <rFont val="Aptos Narrow"/>
        <family val="2"/>
        <scheme val="minor"/>
      </rPr>
      <t>Sivaram Senthilkumar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</si>
</sst>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wrapText="1"/>
    </xf>
    <xf numFmtId="0" fontId="16" fillId="0" borderId="17" xfId="0" applyFont="1" applyBorder="1"/>
    <xf numFmtId="0" fontId="16" fillId="0" borderId="18" xfId="0" applyFont="1" applyBorder="1"/>
    <xf numFmtId="0" fontId="16" fillId="0" borderId="19" xfId="0" applyFont="1" applyBorder="1"/>
    <xf numFmtId="9" fontId="0" fillId="0" borderId="12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9" fontId="0" fillId="0" borderId="16" xfId="1" applyFont="1" applyBorder="1" applyAlignment="1">
      <alignment horizontal="right"/>
    </xf>
    <xf numFmtId="8" fontId="0" fillId="0" borderId="16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0" xfId="0" applyBorder="1"/>
    <xf numFmtId="0" fontId="16" fillId="0" borderId="21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6" fillId="0" borderId="20" xfId="0" applyFont="1" applyBorder="1"/>
    <xf numFmtId="0" fontId="0" fillId="0" borderId="0" xfId="0" applyBorder="1"/>
    <xf numFmtId="0" fontId="0" fillId="0" borderId="14" xfId="0" applyBorder="1"/>
    <xf numFmtId="0" fontId="0" fillId="0" borderId="35" xfId="0" applyBorder="1"/>
    <xf numFmtId="0" fontId="0" fillId="0" borderId="0" xfId="0" applyAlignment="1">
      <alignment horizontal="center" wrapText="1"/>
    </xf>
    <xf numFmtId="0" fontId="0" fillId="0" borderId="21" xfId="0" applyBorder="1"/>
    <xf numFmtId="0" fontId="16" fillId="0" borderId="24" xfId="0" applyFont="1" applyBorder="1"/>
    <xf numFmtId="0" fontId="16" fillId="0" borderId="36" xfId="0" applyFont="1" applyBorder="1"/>
    <xf numFmtId="0" fontId="16" fillId="0" borderId="37" xfId="0" applyFont="1" applyBorder="1"/>
    <xf numFmtId="0" fontId="16" fillId="0" borderId="38" xfId="0" applyFont="1" applyBorder="1"/>
    <xf numFmtId="0" fontId="16" fillId="0" borderId="14" xfId="0" applyFont="1" applyBorder="1"/>
    <xf numFmtId="0" fontId="16" fillId="0" borderId="26" xfId="0" applyFont="1" applyBorder="1"/>
    <xf numFmtId="0" fontId="16" fillId="0" borderId="34" xfId="0" applyFont="1" applyBorder="1"/>
    <xf numFmtId="0" fontId="16" fillId="0" borderId="0" xfId="0" applyFont="1" applyAlignment="1">
      <alignment horizontal="right"/>
    </xf>
    <xf numFmtId="0" fontId="16" fillId="0" borderId="20" xfId="0" applyFont="1" applyBorder="1" applyAlignment="1">
      <alignment horizontal="right"/>
    </xf>
    <xf numFmtId="0" fontId="16" fillId="0" borderId="25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6" fillId="0" borderId="42" xfId="0" applyFont="1" applyBorder="1" applyAlignment="1"/>
    <xf numFmtId="0" fontId="0" fillId="0" borderId="42" xfId="0" applyBorder="1" applyAlignment="1">
      <alignment horizontal="left"/>
    </xf>
    <xf numFmtId="0" fontId="0" fillId="0" borderId="36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38" xfId="0" applyBorder="1" applyAlignment="1">
      <alignment horizontal="right"/>
    </xf>
    <xf numFmtId="0" fontId="0" fillId="0" borderId="24" xfId="0" applyBorder="1" applyAlignment="1">
      <alignment horizontal="right"/>
    </xf>
    <xf numFmtId="164" fontId="0" fillId="0" borderId="20" xfId="0" applyNumberFormat="1" applyBorder="1" applyAlignment="1">
      <alignment horizontal="right" vertical="center"/>
    </xf>
    <xf numFmtId="164" fontId="0" fillId="0" borderId="20" xfId="0" applyNumberFormat="1" applyBorder="1" applyAlignment="1">
      <alignment horizontal="right"/>
    </xf>
    <xf numFmtId="2" fontId="0" fillId="0" borderId="25" xfId="0" applyNumberFormat="1" applyBorder="1" applyAlignment="1">
      <alignment horizontal="right" vertical="center"/>
    </xf>
    <xf numFmtId="0" fontId="0" fillId="0" borderId="26" xfId="0" applyBorder="1" applyAlignment="1">
      <alignment horizontal="right"/>
    </xf>
    <xf numFmtId="164" fontId="0" fillId="0" borderId="27" xfId="0" applyNumberFormat="1" applyBorder="1" applyAlignment="1">
      <alignment horizontal="right" vertical="center"/>
    </xf>
    <xf numFmtId="164" fontId="0" fillId="0" borderId="27" xfId="0" applyNumberFormat="1" applyBorder="1" applyAlignment="1">
      <alignment horizontal="right"/>
    </xf>
    <xf numFmtId="2" fontId="0" fillId="0" borderId="28" xfId="0" applyNumberFormat="1" applyBorder="1" applyAlignment="1">
      <alignment horizontal="right" vertical="center"/>
    </xf>
    <xf numFmtId="0" fontId="16" fillId="0" borderId="33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22" xfId="0" applyFont="1" applyBorder="1"/>
    <xf numFmtId="0" fontId="16" fillId="0" borderId="23" xfId="0" applyFont="1" applyBorder="1"/>
    <xf numFmtId="0" fontId="18" fillId="0" borderId="0" xfId="0" applyFont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2255-D024-4ABD-88EA-9CFDBF860EE9}">
  <dimension ref="A1:K28"/>
  <sheetViews>
    <sheetView tabSelected="1" workbookViewId="0">
      <selection activeCell="M7" sqref="M7"/>
    </sheetView>
  </sheetViews>
  <sheetFormatPr defaultRowHeight="14.4" x14ac:dyDescent="0.3"/>
  <cols>
    <col min="1" max="1" width="25.21875" customWidth="1"/>
    <col min="5" max="5" width="8.88671875" customWidth="1"/>
  </cols>
  <sheetData>
    <row r="1" spans="1:11" ht="18.600000000000001" thickBot="1" x14ac:dyDescent="0.4">
      <c r="A1" s="81" t="s">
        <v>129</v>
      </c>
      <c r="B1" s="81"/>
      <c r="C1" s="81"/>
    </row>
    <row r="2" spans="1:11" x14ac:dyDescent="0.3">
      <c r="A2" s="24" t="s">
        <v>105</v>
      </c>
      <c r="B2" s="25"/>
      <c r="C2" s="25"/>
      <c r="D2" s="25"/>
      <c r="E2" s="25"/>
      <c r="F2" s="25"/>
      <c r="G2" s="25"/>
      <c r="H2" s="26"/>
      <c r="I2" s="26"/>
      <c r="J2" s="26"/>
      <c r="K2" s="27"/>
    </row>
    <row r="3" spans="1:11" x14ac:dyDescent="0.3">
      <c r="A3" s="39" t="s">
        <v>0</v>
      </c>
      <c r="B3" s="47">
        <v>2015</v>
      </c>
      <c r="C3" s="47">
        <v>2016</v>
      </c>
      <c r="D3" s="47">
        <v>2017</v>
      </c>
      <c r="E3" s="47">
        <v>2018</v>
      </c>
      <c r="F3" s="47">
        <v>2019</v>
      </c>
      <c r="G3" s="47">
        <v>2020</v>
      </c>
      <c r="H3" s="47">
        <v>2021</v>
      </c>
      <c r="I3" s="47">
        <v>2022</v>
      </c>
      <c r="J3" s="47">
        <v>2023</v>
      </c>
      <c r="K3" s="48">
        <v>2024</v>
      </c>
    </row>
    <row r="4" spans="1:11" x14ac:dyDescent="0.3">
      <c r="A4" s="39" t="s">
        <v>16</v>
      </c>
      <c r="B4" s="49">
        <v>78891</v>
      </c>
      <c r="C4" s="49">
        <v>74893</v>
      </c>
      <c r="D4" s="49">
        <v>72433</v>
      </c>
      <c r="E4" s="49">
        <v>79840</v>
      </c>
      <c r="F4" s="49">
        <v>75498</v>
      </c>
      <c r="G4" s="49">
        <v>123532</v>
      </c>
      <c r="H4" s="49">
        <v>113267</v>
      </c>
      <c r="I4" s="49">
        <v>108997</v>
      </c>
      <c r="J4" s="49">
        <v>95518</v>
      </c>
      <c r="K4" s="50">
        <v>120136</v>
      </c>
    </row>
    <row r="5" spans="1:11" x14ac:dyDescent="0.3">
      <c r="A5" s="39" t="s">
        <v>17</v>
      </c>
      <c r="B5" s="49">
        <v>191627</v>
      </c>
      <c r="C5" s="49">
        <v>187163</v>
      </c>
      <c r="D5" s="49">
        <v>184896</v>
      </c>
      <c r="E5" s="49">
        <v>180360</v>
      </c>
      <c r="F5" s="49">
        <v>181872</v>
      </c>
      <c r="G5" s="49">
        <v>239798</v>
      </c>
      <c r="H5" s="49">
        <v>255035</v>
      </c>
      <c r="I5" s="49">
        <v>235464</v>
      </c>
      <c r="J5" s="49">
        <v>220970</v>
      </c>
      <c r="K5" s="50">
        <v>261920</v>
      </c>
    </row>
    <row r="6" spans="1:11" x14ac:dyDescent="0.3">
      <c r="A6" s="39" t="s">
        <v>18</v>
      </c>
      <c r="B6" s="49">
        <v>0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50">
        <v>0</v>
      </c>
    </row>
    <row r="7" spans="1:11" x14ac:dyDescent="0.3">
      <c r="A7" s="39" t="s">
        <v>19</v>
      </c>
      <c r="B7" s="49">
        <v>76545</v>
      </c>
      <c r="C7" s="49">
        <v>72249</v>
      </c>
      <c r="D7" s="49">
        <v>69334</v>
      </c>
      <c r="E7" s="49">
        <v>76637</v>
      </c>
      <c r="F7" s="49">
        <v>72267</v>
      </c>
      <c r="G7" s="49">
        <v>120427</v>
      </c>
      <c r="H7" s="49">
        <v>109989</v>
      </c>
      <c r="I7" s="49">
        <v>105563</v>
      </c>
      <c r="J7" s="49">
        <v>91712</v>
      </c>
      <c r="K7" s="50">
        <v>116102</v>
      </c>
    </row>
    <row r="8" spans="1:11" x14ac:dyDescent="0.3">
      <c r="A8" s="39" t="s">
        <v>20</v>
      </c>
      <c r="B8" s="49">
        <v>2346</v>
      </c>
      <c r="C8" s="49">
        <v>2644</v>
      </c>
      <c r="D8" s="49">
        <v>3099</v>
      </c>
      <c r="E8" s="49">
        <v>3203</v>
      </c>
      <c r="F8" s="49">
        <v>3231</v>
      </c>
      <c r="G8" s="49">
        <v>3105</v>
      </c>
      <c r="H8" s="49">
        <v>3278</v>
      </c>
      <c r="I8" s="49">
        <v>3434</v>
      </c>
      <c r="J8" s="49">
        <v>3806</v>
      </c>
      <c r="K8" s="50">
        <v>4034</v>
      </c>
    </row>
    <row r="9" spans="1:11" x14ac:dyDescent="0.3">
      <c r="A9" s="39" t="s">
        <v>21</v>
      </c>
      <c r="B9" s="49">
        <v>245155</v>
      </c>
      <c r="C9" s="49">
        <v>242698</v>
      </c>
      <c r="D9" s="49">
        <v>238425</v>
      </c>
      <c r="E9" s="49">
        <v>244626</v>
      </c>
      <c r="F9" s="49">
        <v>245610</v>
      </c>
      <c r="G9" s="49">
        <v>314706</v>
      </c>
      <c r="H9" s="49">
        <v>314624</v>
      </c>
      <c r="I9" s="49">
        <v>301450</v>
      </c>
      <c r="J9" s="49">
        <v>297258</v>
      </c>
      <c r="K9" s="50">
        <v>353240</v>
      </c>
    </row>
    <row r="10" spans="1:11" x14ac:dyDescent="0.3">
      <c r="A10" s="39" t="s">
        <v>22</v>
      </c>
      <c r="B10" s="49">
        <v>224020</v>
      </c>
      <c r="C10" s="49">
        <v>221479</v>
      </c>
      <c r="D10" s="49">
        <v>216108</v>
      </c>
      <c r="E10" s="49">
        <v>219836</v>
      </c>
      <c r="F10" s="49">
        <v>221179</v>
      </c>
      <c r="G10" s="49">
        <v>288506</v>
      </c>
      <c r="H10" s="49">
        <v>287261</v>
      </c>
      <c r="I10" s="49">
        <v>276259</v>
      </c>
      <c r="J10" s="49">
        <v>273459</v>
      </c>
      <c r="K10" s="50">
        <v>327914</v>
      </c>
    </row>
    <row r="11" spans="1:11" x14ac:dyDescent="0.3">
      <c r="A11" s="39" t="s">
        <v>23</v>
      </c>
      <c r="B11" s="49">
        <v>21135</v>
      </c>
      <c r="C11" s="49">
        <v>21219</v>
      </c>
      <c r="D11" s="49">
        <v>22317</v>
      </c>
      <c r="E11" s="49">
        <v>24790</v>
      </c>
      <c r="F11" s="49">
        <v>24431</v>
      </c>
      <c r="G11" s="49">
        <v>26200</v>
      </c>
      <c r="H11" s="49">
        <v>27363</v>
      </c>
      <c r="I11" s="49">
        <v>25191</v>
      </c>
      <c r="J11" s="49">
        <v>23799</v>
      </c>
      <c r="K11" s="50">
        <v>25326</v>
      </c>
    </row>
    <row r="12" spans="1:11" x14ac:dyDescent="0.3">
      <c r="A12" s="39" t="s">
        <v>1</v>
      </c>
      <c r="B12" s="49">
        <v>10360</v>
      </c>
      <c r="C12" s="49">
        <v>10207</v>
      </c>
      <c r="D12" s="49">
        <v>11170</v>
      </c>
      <c r="E12" s="49">
        <v>12131</v>
      </c>
      <c r="F12" s="49">
        <v>11756</v>
      </c>
      <c r="G12" s="49">
        <v>11703</v>
      </c>
      <c r="H12" s="49">
        <v>12027</v>
      </c>
      <c r="I12" s="49">
        <v>12148</v>
      </c>
      <c r="J12" s="49">
        <v>11945</v>
      </c>
      <c r="K12" s="50">
        <v>13000</v>
      </c>
    </row>
    <row r="13" spans="1:11" x14ac:dyDescent="0.3">
      <c r="A13" s="39" t="s">
        <v>24</v>
      </c>
      <c r="B13" s="49" t="s">
        <v>25</v>
      </c>
      <c r="C13" s="49" t="s">
        <v>25</v>
      </c>
      <c r="D13" s="49" t="s">
        <v>25</v>
      </c>
      <c r="E13" s="49" t="s">
        <v>25</v>
      </c>
      <c r="F13" s="49" t="s">
        <v>25</v>
      </c>
      <c r="G13" s="49" t="s">
        <v>25</v>
      </c>
      <c r="H13" s="49" t="s">
        <v>25</v>
      </c>
      <c r="I13" s="49" t="s">
        <v>25</v>
      </c>
      <c r="J13" s="49" t="s">
        <v>25</v>
      </c>
      <c r="K13" s="50" t="s">
        <v>25</v>
      </c>
    </row>
    <row r="14" spans="1:11" x14ac:dyDescent="0.3">
      <c r="A14" s="39" t="s">
        <v>26</v>
      </c>
      <c r="B14" s="49">
        <v>2298</v>
      </c>
      <c r="C14" s="49">
        <v>2121</v>
      </c>
      <c r="D14" s="49">
        <v>2899</v>
      </c>
      <c r="E14" s="49">
        <v>3101</v>
      </c>
      <c r="F14" s="49">
        <v>2712</v>
      </c>
      <c r="G14" s="49">
        <v>2899</v>
      </c>
      <c r="H14" s="49">
        <v>3171</v>
      </c>
      <c r="I14" s="49">
        <v>3327</v>
      </c>
      <c r="J14" s="49">
        <v>2316</v>
      </c>
      <c r="K14" s="50">
        <v>3395</v>
      </c>
    </row>
    <row r="15" spans="1:11" x14ac:dyDescent="0.3">
      <c r="A15" s="39" t="s">
        <v>98</v>
      </c>
      <c r="B15" s="49">
        <v>318</v>
      </c>
      <c r="C15" s="49">
        <v>-22</v>
      </c>
      <c r="D15" s="49">
        <v>722</v>
      </c>
      <c r="E15" s="49">
        <v>508</v>
      </c>
      <c r="F15" s="49">
        <v>470</v>
      </c>
      <c r="G15" s="49">
        <v>479</v>
      </c>
      <c r="H15" s="49">
        <v>478</v>
      </c>
      <c r="I15" s="49">
        <v>553</v>
      </c>
      <c r="J15" s="49">
        <v>372</v>
      </c>
      <c r="K15" s="50">
        <v>708</v>
      </c>
    </row>
    <row r="16" spans="1:11" x14ac:dyDescent="0.3">
      <c r="A16" s="39" t="s">
        <v>9</v>
      </c>
      <c r="B16" s="49">
        <v>400</v>
      </c>
      <c r="C16" s="49">
        <v>428</v>
      </c>
      <c r="D16" s="49">
        <v>604</v>
      </c>
      <c r="E16" s="49">
        <v>991</v>
      </c>
      <c r="F16" s="49">
        <v>1375</v>
      </c>
      <c r="G16" s="49">
        <v>375</v>
      </c>
      <c r="H16" s="49">
        <v>3</v>
      </c>
      <c r="I16" s="49">
        <v>1544</v>
      </c>
      <c r="J16" s="49">
        <v>6421</v>
      </c>
      <c r="K16" s="50">
        <v>9054</v>
      </c>
    </row>
    <row r="17" spans="1:11" x14ac:dyDescent="0.3">
      <c r="A17" s="39" t="s">
        <v>11</v>
      </c>
      <c r="B17" s="49">
        <v>1980</v>
      </c>
      <c r="C17" s="49">
        <v>2143</v>
      </c>
      <c r="D17" s="49">
        <v>2177</v>
      </c>
      <c r="E17" s="49">
        <v>2593</v>
      </c>
      <c r="F17" s="49">
        <v>2242</v>
      </c>
      <c r="G17" s="49">
        <v>2420</v>
      </c>
      <c r="H17" s="49">
        <v>2693</v>
      </c>
      <c r="I17" s="49">
        <v>2774</v>
      </c>
      <c r="J17" s="49">
        <v>1944</v>
      </c>
      <c r="K17" s="50">
        <v>2687</v>
      </c>
    </row>
    <row r="18" spans="1:11" x14ac:dyDescent="0.3">
      <c r="A18" s="39" t="s">
        <v>3</v>
      </c>
      <c r="B18" s="49">
        <v>8050</v>
      </c>
      <c r="C18" s="49">
        <v>8077</v>
      </c>
      <c r="D18" s="49">
        <v>8269</v>
      </c>
      <c r="E18" s="49">
        <v>9015</v>
      </c>
      <c r="F18" s="49">
        <v>9034</v>
      </c>
      <c r="G18" s="49">
        <v>8716</v>
      </c>
      <c r="H18" s="49">
        <v>8889</v>
      </c>
      <c r="I18" s="49">
        <v>8801</v>
      </c>
      <c r="J18" s="49">
        <v>9583</v>
      </c>
      <c r="K18" s="50">
        <v>9530</v>
      </c>
    </row>
    <row r="19" spans="1:11" x14ac:dyDescent="0.3">
      <c r="A19" s="39" t="s">
        <v>5</v>
      </c>
      <c r="B19" s="49">
        <v>604</v>
      </c>
      <c r="C19" s="49">
        <v>722</v>
      </c>
      <c r="D19" s="49">
        <v>871</v>
      </c>
      <c r="E19" s="49">
        <v>977</v>
      </c>
      <c r="F19" s="49">
        <v>1101</v>
      </c>
      <c r="G19" s="49">
        <v>1276</v>
      </c>
      <c r="H19" s="49">
        <v>1312</v>
      </c>
      <c r="I19" s="49">
        <v>918</v>
      </c>
      <c r="J19" s="49">
        <v>643</v>
      </c>
      <c r="K19" s="50">
        <v>375</v>
      </c>
    </row>
    <row r="20" spans="1:11" x14ac:dyDescent="0.3">
      <c r="A20" s="39" t="s">
        <v>7</v>
      </c>
      <c r="B20" s="49">
        <f>B12/B14</f>
        <v>4.5082680591818969</v>
      </c>
      <c r="C20" s="49">
        <f t="shared" ref="C20:K20" si="0">C12/C14</f>
        <v>4.812352663837812</v>
      </c>
      <c r="D20" s="49">
        <f t="shared" si="0"/>
        <v>3.853052776819593</v>
      </c>
      <c r="E20" s="49">
        <f t="shared" si="0"/>
        <v>3.9119638826185104</v>
      </c>
      <c r="F20" s="49">
        <f t="shared" si="0"/>
        <v>4.334808259587021</v>
      </c>
      <c r="G20" s="49">
        <f t="shared" si="0"/>
        <v>4.0369092790617458</v>
      </c>
      <c r="H20" s="49">
        <f t="shared" si="0"/>
        <v>3.7928098391674552</v>
      </c>
      <c r="I20" s="49">
        <f t="shared" si="0"/>
        <v>3.6513375413285241</v>
      </c>
      <c r="J20" s="49">
        <f t="shared" si="0"/>
        <v>5.1575993091537136</v>
      </c>
      <c r="K20" s="50">
        <f t="shared" si="0"/>
        <v>3.8291605301914582</v>
      </c>
    </row>
    <row r="21" spans="1:11" ht="15" thickBot="1" x14ac:dyDescent="0.35">
      <c r="A21" s="44" t="s">
        <v>27</v>
      </c>
      <c r="B21" s="51">
        <v>11497</v>
      </c>
      <c r="C21" s="51">
        <v>11430</v>
      </c>
      <c r="D21" s="51">
        <v>11620</v>
      </c>
      <c r="E21" s="51">
        <v>11093</v>
      </c>
      <c r="F21" s="51">
        <v>12509</v>
      </c>
      <c r="G21" s="51">
        <v>13805</v>
      </c>
      <c r="H21" s="51">
        <v>13475</v>
      </c>
      <c r="I21" s="51">
        <v>14996</v>
      </c>
      <c r="J21" s="51">
        <v>18839</v>
      </c>
      <c r="K21" s="52">
        <v>23272</v>
      </c>
    </row>
    <row r="22" spans="1:11" ht="15" thickBot="1" x14ac:dyDescent="0.35"/>
    <row r="23" spans="1:11" x14ac:dyDescent="0.3">
      <c r="A23" s="53" t="s">
        <v>101</v>
      </c>
      <c r="B23" s="55" t="s">
        <v>99</v>
      </c>
      <c r="C23" s="56"/>
      <c r="D23" s="57"/>
    </row>
    <row r="24" spans="1:11" ht="15" thickBot="1" x14ac:dyDescent="0.35">
      <c r="A24" s="54"/>
      <c r="B24" s="58" t="s">
        <v>100</v>
      </c>
      <c r="C24" s="59"/>
      <c r="D24" s="60"/>
    </row>
    <row r="26" spans="1:11" ht="15" thickBot="1" x14ac:dyDescent="0.35">
      <c r="B26">
        <f>(B16/B14)*100</f>
        <v>17.406440382941689</v>
      </c>
      <c r="C26">
        <f t="shared" ref="C26:D26" si="1">(C16/C14)*100</f>
        <v>20.179160773220179</v>
      </c>
      <c r="D26">
        <f t="shared" si="1"/>
        <v>20.834770610555363</v>
      </c>
    </row>
    <row r="27" spans="1:11" x14ac:dyDescent="0.3">
      <c r="A27" s="53" t="s">
        <v>127</v>
      </c>
      <c r="B27" s="56" t="s">
        <v>26</v>
      </c>
      <c r="C27" s="57"/>
    </row>
    <row r="28" spans="1:11" ht="15" thickBot="1" x14ac:dyDescent="0.35">
      <c r="A28" s="54"/>
      <c r="B28" s="61" t="s">
        <v>128</v>
      </c>
      <c r="C28" s="62"/>
    </row>
  </sheetData>
  <mergeCells count="7">
    <mergeCell ref="A27:A28"/>
    <mergeCell ref="B27:C27"/>
    <mergeCell ref="B28:C28"/>
    <mergeCell ref="B23:D23"/>
    <mergeCell ref="B24:D24"/>
    <mergeCell ref="A23:A24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D2B2-0404-460E-82D0-B595E640D70A}">
  <dimension ref="A1:M65"/>
  <sheetViews>
    <sheetView workbookViewId="0">
      <selection activeCell="B65" sqref="B65"/>
    </sheetView>
  </sheetViews>
  <sheetFormatPr defaultRowHeight="14.4" x14ac:dyDescent="0.3"/>
  <cols>
    <col min="1" max="1" width="29.44140625" style="2" customWidth="1"/>
    <col min="2" max="2" width="13" customWidth="1"/>
    <col min="3" max="3" width="8.88671875" customWidth="1"/>
    <col min="4" max="4" width="13" customWidth="1"/>
    <col min="6" max="6" width="8.88671875" customWidth="1"/>
    <col min="8" max="10" width="8.88671875" customWidth="1"/>
    <col min="12" max="12" width="8.88671875" customWidth="1"/>
    <col min="13" max="13" width="14.5546875" customWidth="1"/>
  </cols>
  <sheetData>
    <row r="1" spans="1:13" ht="28.8" customHeight="1" thickBot="1" x14ac:dyDescent="0.35">
      <c r="A1" s="43" t="s">
        <v>106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40" t="s">
        <v>0</v>
      </c>
      <c r="B2" s="41">
        <v>2015</v>
      </c>
      <c r="C2" s="41">
        <v>2016</v>
      </c>
      <c r="D2" s="41">
        <v>2017</v>
      </c>
      <c r="E2" s="41">
        <v>2018</v>
      </c>
      <c r="F2" s="41">
        <v>2019</v>
      </c>
      <c r="G2" s="41">
        <v>2020</v>
      </c>
      <c r="H2" s="41">
        <v>2021</v>
      </c>
      <c r="I2" s="41">
        <v>2022</v>
      </c>
      <c r="J2" s="41">
        <v>2023</v>
      </c>
      <c r="K2" s="41">
        <v>2024</v>
      </c>
      <c r="L2" s="41"/>
      <c r="M2" s="42" t="s">
        <v>96</v>
      </c>
    </row>
    <row r="3" spans="1:13" x14ac:dyDescent="0.3">
      <c r="A3" s="39" t="s">
        <v>1</v>
      </c>
      <c r="B3" s="23">
        <v>10360</v>
      </c>
      <c r="C3" s="23">
        <v>10207</v>
      </c>
      <c r="D3" s="23">
        <v>11170</v>
      </c>
      <c r="E3" s="23">
        <v>12131</v>
      </c>
      <c r="F3" s="23">
        <v>11756</v>
      </c>
      <c r="G3" s="23">
        <v>11703</v>
      </c>
      <c r="H3" s="23">
        <v>12027</v>
      </c>
      <c r="I3" s="23">
        <v>12148</v>
      </c>
      <c r="J3" s="23">
        <v>11945</v>
      </c>
      <c r="K3" s="23">
        <v>13000</v>
      </c>
      <c r="L3" s="23"/>
      <c r="M3" s="29">
        <f>L4*K3+K3</f>
        <v>13355.409630761731</v>
      </c>
    </row>
    <row r="4" spans="1:13" ht="15" thickBot="1" x14ac:dyDescent="0.35">
      <c r="A4" s="44" t="s">
        <v>2</v>
      </c>
      <c r="B4" s="31"/>
      <c r="C4" s="31">
        <f>(C3-B3)/B3</f>
        <v>-1.4768339768339769E-2</v>
      </c>
      <c r="D4" s="31">
        <f t="shared" ref="D4:K4" si="0">(D3-C3)/C3</f>
        <v>9.4347016753208585E-2</v>
      </c>
      <c r="E4" s="31">
        <f t="shared" si="0"/>
        <v>8.6034019695613251E-2</v>
      </c>
      <c r="F4" s="31">
        <f t="shared" si="0"/>
        <v>-3.0912538125463688E-2</v>
      </c>
      <c r="G4" s="31">
        <f t="shared" si="0"/>
        <v>-4.5083361687648857E-3</v>
      </c>
      <c r="H4" s="31">
        <f t="shared" si="0"/>
        <v>2.7685208920789541E-2</v>
      </c>
      <c r="I4" s="31">
        <f t="shared" si="0"/>
        <v>1.0060696765610709E-2</v>
      </c>
      <c r="J4" s="31">
        <f t="shared" si="0"/>
        <v>-1.6710569641093184E-2</v>
      </c>
      <c r="K4" s="31">
        <f t="shared" si="0"/>
        <v>8.8321473419840937E-2</v>
      </c>
      <c r="L4" s="31">
        <f>AVERAGE(K4,J4,I4,H4)</f>
        <v>2.7339202366287001E-2</v>
      </c>
      <c r="M4" s="32"/>
    </row>
    <row r="6" spans="1:13" ht="19.8" customHeight="1" thickBot="1" x14ac:dyDescent="0.35">
      <c r="A6" s="43" t="s">
        <v>107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41" t="s">
        <v>0</v>
      </c>
      <c r="B7" s="41">
        <v>2015</v>
      </c>
      <c r="C7" s="41">
        <v>2016</v>
      </c>
      <c r="D7" s="41">
        <v>2017</v>
      </c>
      <c r="E7" s="41">
        <v>2018</v>
      </c>
      <c r="F7" s="41">
        <v>2019</v>
      </c>
      <c r="G7" s="41">
        <v>2020</v>
      </c>
      <c r="H7" s="41">
        <v>2021</v>
      </c>
      <c r="I7" s="41">
        <v>2022</v>
      </c>
      <c r="J7" s="41">
        <v>2023</v>
      </c>
      <c r="K7" s="41">
        <v>2024</v>
      </c>
      <c r="L7" s="41"/>
      <c r="M7" s="41" t="s">
        <v>96</v>
      </c>
    </row>
    <row r="8" spans="1:13" x14ac:dyDescent="0.3">
      <c r="A8" s="33" t="s">
        <v>3</v>
      </c>
      <c r="B8" s="23">
        <v>8050</v>
      </c>
      <c r="C8" s="23">
        <v>8077</v>
      </c>
      <c r="D8" s="23">
        <v>8269</v>
      </c>
      <c r="E8" s="23">
        <v>9015</v>
      </c>
      <c r="F8" s="23">
        <v>9034</v>
      </c>
      <c r="G8" s="23">
        <v>8716</v>
      </c>
      <c r="H8" s="23">
        <v>8889</v>
      </c>
      <c r="I8" s="23">
        <v>8801</v>
      </c>
      <c r="J8" s="23">
        <v>9583</v>
      </c>
      <c r="K8" s="23">
        <v>9530</v>
      </c>
      <c r="L8" s="23"/>
      <c r="M8" s="23">
        <f>L9*K8+K8</f>
        <v>9752.2195640076243</v>
      </c>
    </row>
    <row r="9" spans="1:13" x14ac:dyDescent="0.3">
      <c r="A9" s="33" t="s">
        <v>4</v>
      </c>
      <c r="B9" s="23"/>
      <c r="C9" s="23">
        <f>(C8-B8)/B8</f>
        <v>3.3540372670807454E-3</v>
      </c>
      <c r="D9" s="23">
        <f t="shared" ref="D9" si="1">(D8-C8)/C8</f>
        <v>2.3771202179026868E-2</v>
      </c>
      <c r="E9" s="23">
        <f t="shared" ref="E9" si="2">(E8-D8)/D8</f>
        <v>9.0216471157334624E-2</v>
      </c>
      <c r="F9" s="23">
        <f t="shared" ref="F9" si="3">(F8-E8)/E8</f>
        <v>2.1075984470327234E-3</v>
      </c>
      <c r="G9" s="23">
        <f t="shared" ref="G9" si="4">(G8-F8)/F8</f>
        <v>-3.5200354217400927E-2</v>
      </c>
      <c r="H9" s="23">
        <f t="shared" ref="H9" si="5">(H8-G8)/G8</f>
        <v>1.9848554382744379E-2</v>
      </c>
      <c r="I9" s="23">
        <f t="shared" ref="I9" si="6">(I8-H8)/H8</f>
        <v>-9.8998762515468564E-3</v>
      </c>
      <c r="J9" s="23">
        <f t="shared" ref="J9" si="7">(J8-I8)/I8</f>
        <v>8.8853539370526077E-2</v>
      </c>
      <c r="K9" s="23">
        <f t="shared" ref="K9" si="8">(K8-J8)/J8</f>
        <v>-5.5306271522487741E-3</v>
      </c>
      <c r="L9" s="23">
        <f>AVERAGE(K9,J9,I9,H9)</f>
        <v>2.3317897587368706E-2</v>
      </c>
      <c r="M9" s="23"/>
    </row>
    <row r="11" spans="1:13" ht="14.4" customHeight="1" thickBot="1" x14ac:dyDescent="0.35">
      <c r="A11" s="43" t="s">
        <v>108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40" t="s">
        <v>0</v>
      </c>
      <c r="B12" s="41">
        <v>2015</v>
      </c>
      <c r="C12" s="41">
        <v>2016</v>
      </c>
      <c r="D12" s="41">
        <v>2017</v>
      </c>
      <c r="E12" s="41">
        <v>2018</v>
      </c>
      <c r="F12" s="41">
        <v>2019</v>
      </c>
      <c r="G12" s="41">
        <v>2020</v>
      </c>
      <c r="H12" s="41">
        <v>2021</v>
      </c>
      <c r="I12" s="41">
        <v>2022</v>
      </c>
      <c r="J12" s="41">
        <v>2023</v>
      </c>
      <c r="K12" s="41">
        <v>2024</v>
      </c>
      <c r="L12" s="41"/>
      <c r="M12" s="42" t="s">
        <v>96</v>
      </c>
    </row>
    <row r="13" spans="1:13" x14ac:dyDescent="0.3">
      <c r="A13" s="39" t="s">
        <v>5</v>
      </c>
      <c r="B13" s="23">
        <v>604</v>
      </c>
      <c r="C13" s="23">
        <v>722</v>
      </c>
      <c r="D13" s="23">
        <v>871</v>
      </c>
      <c r="E13" s="23">
        <v>977</v>
      </c>
      <c r="F13" s="23">
        <v>1101</v>
      </c>
      <c r="G13" s="23">
        <v>1276</v>
      </c>
      <c r="H13" s="23">
        <v>1312</v>
      </c>
      <c r="I13" s="23">
        <v>918</v>
      </c>
      <c r="J13" s="23">
        <v>643</v>
      </c>
      <c r="K13" s="23">
        <v>375</v>
      </c>
      <c r="L13" s="23"/>
      <c r="M13" s="29">
        <f>L14*K13+K13</f>
        <v>282.33260160438772</v>
      </c>
    </row>
    <row r="14" spans="1:13" ht="15" thickBot="1" x14ac:dyDescent="0.35">
      <c r="A14" s="44" t="s">
        <v>6</v>
      </c>
      <c r="B14" s="31"/>
      <c r="C14" s="31">
        <f>(C13-B13)/B13</f>
        <v>0.19536423841059603</v>
      </c>
      <c r="D14" s="31">
        <f t="shared" ref="D14" si="9">(D13-C13)/C13</f>
        <v>0.20637119113573407</v>
      </c>
      <c r="E14" s="31">
        <f t="shared" ref="E14" si="10">(E13-D13)/D13</f>
        <v>0.12169919632606199</v>
      </c>
      <c r="F14" s="31">
        <f t="shared" ref="F14" si="11">(F13-E13)/E13</f>
        <v>0.12691914022517911</v>
      </c>
      <c r="G14" s="31">
        <f t="shared" ref="G14" si="12">(G13-F13)/F13</f>
        <v>0.15894641235240689</v>
      </c>
      <c r="H14" s="31">
        <f t="shared" ref="H14" si="13">(H13-G13)/G13</f>
        <v>2.8213166144200628E-2</v>
      </c>
      <c r="I14" s="31">
        <f t="shared" ref="I14" si="14">(I13-H13)/H13</f>
        <v>-0.30030487804878048</v>
      </c>
      <c r="J14" s="31">
        <f t="shared" ref="J14" si="15">(J13-I13)/I13</f>
        <v>-0.29956427015250547</v>
      </c>
      <c r="K14" s="31">
        <f t="shared" ref="K14" si="16">(K13-J13)/J13</f>
        <v>-0.41679626749611198</v>
      </c>
      <c r="L14" s="31">
        <f>AVERAGE(K14,J14,I14,H14)</f>
        <v>-0.24711306238829933</v>
      </c>
      <c r="M14" s="32"/>
    </row>
    <row r="16" spans="1:13" ht="15" thickBot="1" x14ac:dyDescent="0.35">
      <c r="A16" s="43" t="s">
        <v>7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41" t="s">
        <v>0</v>
      </c>
      <c r="B17" s="41">
        <v>2015</v>
      </c>
      <c r="C17" s="41">
        <v>2016</v>
      </c>
      <c r="D17" s="41">
        <v>2017</v>
      </c>
      <c r="E17" s="41">
        <v>2018</v>
      </c>
      <c r="F17" s="41">
        <v>2019</v>
      </c>
      <c r="G17" s="41">
        <v>2020</v>
      </c>
      <c r="H17" s="41">
        <v>2021</v>
      </c>
      <c r="I17" s="41">
        <v>2022</v>
      </c>
      <c r="J17" s="41">
        <v>2023</v>
      </c>
      <c r="K17" s="41">
        <v>2024</v>
      </c>
      <c r="L17" s="41"/>
      <c r="M17" s="41" t="s">
        <v>96</v>
      </c>
    </row>
    <row r="18" spans="1:13" x14ac:dyDescent="0.3">
      <c r="A18" s="33" t="s">
        <v>7</v>
      </c>
      <c r="B18" s="23">
        <v>0.16060606060606061</v>
      </c>
      <c r="C18" s="23">
        <v>-1.0265982267848811E-2</v>
      </c>
      <c r="D18" s="23">
        <v>0.33164905833716124</v>
      </c>
      <c r="E18" s="23">
        <v>0.19591207096027768</v>
      </c>
      <c r="F18" s="23">
        <v>0.2096342551293488</v>
      </c>
      <c r="G18" s="23">
        <v>0.19793388429752065</v>
      </c>
      <c r="H18" s="23">
        <v>0.17749721500185667</v>
      </c>
      <c r="I18" s="23">
        <v>0.19935111751982695</v>
      </c>
      <c r="J18" s="23">
        <v>0.19135802469135801</v>
      </c>
      <c r="K18" s="23">
        <v>0.26349088202456272</v>
      </c>
      <c r="L18" s="23"/>
      <c r="M18" s="23">
        <f>L19*K18+K18</f>
        <v>0.28698961357268532</v>
      </c>
    </row>
    <row r="19" spans="1:13" x14ac:dyDescent="0.3">
      <c r="A19" s="33" t="s">
        <v>8</v>
      </c>
      <c r="B19" s="23"/>
      <c r="C19" s="23">
        <f>(C18-B18)/B18</f>
        <v>-1.0639202669507568</v>
      </c>
      <c r="D19" s="23">
        <f t="shared" ref="D19" si="17">(D18-C18)/C18</f>
        <v>-33.305633273478932</v>
      </c>
      <c r="E19" s="23">
        <f t="shared" ref="E19" si="18">(E18-D18)/D18</f>
        <v>-0.40927897717378875</v>
      </c>
      <c r="F19" s="23">
        <f t="shared" ref="F19" si="19">(F18-E18)/E18</f>
        <v>7.0042566044097254E-2</v>
      </c>
      <c r="G19" s="23">
        <f t="shared" ref="G19" si="20">(G18-F18)/F18</f>
        <v>-5.5813258308422792E-2</v>
      </c>
      <c r="H19" s="23">
        <f t="shared" ref="H19" si="21">(H18-G18)/G18</f>
        <v>-0.10324997848748819</v>
      </c>
      <c r="I19" s="23">
        <f t="shared" ref="I19" si="22">(I18-H18)/H18</f>
        <v>0.12312250937425519</v>
      </c>
      <c r="J19" s="23">
        <f t="shared" ref="J19" si="23">(J18-I18)/I18</f>
        <v>-4.009555064407385E-2</v>
      </c>
      <c r="K19" s="23">
        <f t="shared" ref="K19" si="24">(K18-J18)/J18</f>
        <v>0.37695235122513432</v>
      </c>
      <c r="L19" s="23">
        <f>AVERAGE(K19,J19,I19,H19)</f>
        <v>8.918233286695687E-2</v>
      </c>
      <c r="M19" s="23"/>
    </row>
    <row r="21" spans="1:13" ht="18.600000000000001" customHeight="1" thickBot="1" x14ac:dyDescent="0.35">
      <c r="A21" s="43" t="s">
        <v>109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 spans="1:13" x14ac:dyDescent="0.3">
      <c r="A22" s="40" t="s">
        <v>0</v>
      </c>
      <c r="B22" s="41">
        <v>2015</v>
      </c>
      <c r="C22" s="41">
        <v>2016</v>
      </c>
      <c r="D22" s="41">
        <v>2017</v>
      </c>
      <c r="E22" s="41">
        <v>2018</v>
      </c>
      <c r="F22" s="41">
        <v>2019</v>
      </c>
      <c r="G22" s="41">
        <v>2020</v>
      </c>
      <c r="H22" s="41">
        <v>2021</v>
      </c>
      <c r="I22" s="41">
        <v>2022</v>
      </c>
      <c r="J22" s="41">
        <v>2023</v>
      </c>
      <c r="K22" s="41">
        <v>2024</v>
      </c>
      <c r="L22" s="41"/>
      <c r="M22" s="42" t="s">
        <v>96</v>
      </c>
    </row>
    <row r="23" spans="1:13" x14ac:dyDescent="0.3">
      <c r="A23" s="39" t="s">
        <v>9</v>
      </c>
      <c r="B23" s="23">
        <v>400</v>
      </c>
      <c r="C23" s="23">
        <v>428</v>
      </c>
      <c r="D23" s="23">
        <v>604</v>
      </c>
      <c r="E23" s="23">
        <v>991</v>
      </c>
      <c r="F23" s="23">
        <v>1375</v>
      </c>
      <c r="G23" s="23">
        <v>375</v>
      </c>
      <c r="H23" s="23">
        <v>3</v>
      </c>
      <c r="I23" s="23">
        <v>1544</v>
      </c>
      <c r="J23" s="23">
        <v>6421</v>
      </c>
      <c r="K23" s="23">
        <v>9054</v>
      </c>
      <c r="L23" s="23"/>
      <c r="M23" s="29">
        <f>L24*K23+K23</f>
        <v>12766.6899236879</v>
      </c>
    </row>
    <row r="24" spans="1:13" ht="15" thickBot="1" x14ac:dyDescent="0.35">
      <c r="A24" s="44" t="s">
        <v>10</v>
      </c>
      <c r="B24" s="31"/>
      <c r="C24" s="31">
        <f>(C23-B23)/B23</f>
        <v>7.0000000000000007E-2</v>
      </c>
      <c r="D24" s="31">
        <f t="shared" ref="D24" si="25">(D23-C23)/C23</f>
        <v>0.41121495327102803</v>
      </c>
      <c r="E24" s="31">
        <f t="shared" ref="E24" si="26">(E23-D23)/D23</f>
        <v>0.64072847682119205</v>
      </c>
      <c r="F24" s="31">
        <f t="shared" ref="F24" si="27">(F23-E23)/E23</f>
        <v>0.38748738647830472</v>
      </c>
      <c r="G24" s="31">
        <f t="shared" ref="G24" si="28">(G23-F23)/F23</f>
        <v>-0.72727272727272729</v>
      </c>
      <c r="H24" s="31">
        <f t="shared" ref="H24" si="29">(H23-G23)/G23</f>
        <v>-0.99199999999999999</v>
      </c>
      <c r="I24" s="31">
        <f t="shared" ref="I24" si="30">(I23-H23)/H23</f>
        <v>513.66666666666663</v>
      </c>
      <c r="J24" s="31">
        <f t="shared" ref="J24" si="31">(J23-I23)/I23</f>
        <v>3.1586787564766841</v>
      </c>
      <c r="K24" s="31">
        <f t="shared" ref="K24" si="32">(K23-J23)/J23</f>
        <v>0.41006073820277217</v>
      </c>
      <c r="L24" s="31">
        <f>AVERAGE(K24)</f>
        <v>0.41006073820277217</v>
      </c>
      <c r="M24" s="32"/>
    </row>
    <row r="26" spans="1:13" ht="28.8" customHeight="1" thickBot="1" x14ac:dyDescent="0.35">
      <c r="A26" s="43" t="s">
        <v>110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3" x14ac:dyDescent="0.3">
      <c r="A27" s="41" t="s">
        <v>0</v>
      </c>
      <c r="B27" s="41">
        <v>2015</v>
      </c>
      <c r="C27" s="41">
        <v>2016</v>
      </c>
      <c r="D27" s="41">
        <v>2017</v>
      </c>
      <c r="E27" s="41">
        <v>2018</v>
      </c>
      <c r="F27" s="41">
        <v>2019</v>
      </c>
      <c r="G27" s="41">
        <v>2020</v>
      </c>
      <c r="H27" s="41">
        <v>2021</v>
      </c>
      <c r="I27" s="41">
        <v>2022</v>
      </c>
      <c r="J27" s="41">
        <v>2023</v>
      </c>
      <c r="K27" s="41">
        <v>2024</v>
      </c>
      <c r="L27" s="41"/>
      <c r="M27" s="41" t="s">
        <v>96</v>
      </c>
    </row>
    <row r="28" spans="1:13" x14ac:dyDescent="0.3">
      <c r="A28" s="33" t="s">
        <v>11</v>
      </c>
      <c r="B28" s="23">
        <v>1980</v>
      </c>
      <c r="C28" s="23">
        <v>2143</v>
      </c>
      <c r="D28" s="23">
        <v>2177</v>
      </c>
      <c r="E28" s="23">
        <v>2593</v>
      </c>
      <c r="F28" s="23">
        <v>2242</v>
      </c>
      <c r="G28" s="23">
        <v>2420</v>
      </c>
      <c r="H28" s="23">
        <v>2693</v>
      </c>
      <c r="I28" s="23">
        <v>2774</v>
      </c>
      <c r="J28" s="23">
        <v>1944</v>
      </c>
      <c r="K28" s="23">
        <v>2687</v>
      </c>
      <c r="L28" s="23"/>
      <c r="M28" s="23">
        <f>L29*K28+K28</f>
        <v>2838.7366513156012</v>
      </c>
    </row>
    <row r="29" spans="1:13" x14ac:dyDescent="0.3">
      <c r="A29" s="33" t="s">
        <v>95</v>
      </c>
      <c r="B29" s="23"/>
      <c r="C29" s="23">
        <f>(C28-B28)/B28</f>
        <v>8.2323232323232326E-2</v>
      </c>
      <c r="D29" s="23">
        <f t="shared" ref="D29" si="33">(D28-C28)/C28</f>
        <v>1.5865608959402706E-2</v>
      </c>
      <c r="E29" s="23">
        <f t="shared" ref="E29" si="34">(E28-D28)/D28</f>
        <v>0.19108865411116216</v>
      </c>
      <c r="F29" s="23">
        <f t="shared" ref="F29" si="35">(F28-E28)/E28</f>
        <v>-0.13536444273042808</v>
      </c>
      <c r="G29" s="23">
        <f t="shared" ref="G29" si="36">(G28-F28)/F28</f>
        <v>7.9393398751115077E-2</v>
      </c>
      <c r="H29" s="23">
        <f t="shared" ref="H29" si="37">(H28-G28)/G28</f>
        <v>0.11280991735537189</v>
      </c>
      <c r="I29" s="23">
        <f t="shared" ref="I29" si="38">(I28-H28)/H28</f>
        <v>3.0077979948013367E-2</v>
      </c>
      <c r="J29" s="23">
        <f t="shared" ref="J29" si="39">(J28-I28)/I28</f>
        <v>-0.29920692141312183</v>
      </c>
      <c r="K29" s="23">
        <f t="shared" ref="K29" si="40">(K28-J28)/J28</f>
        <v>0.38220164609053497</v>
      </c>
      <c r="L29" s="23">
        <f>AVERAGE(K29,J29,I29,H29)</f>
        <v>5.6470655495199598E-2</v>
      </c>
      <c r="M29" s="23"/>
    </row>
    <row r="31" spans="1:13" ht="22.2" customHeight="1" thickBot="1" x14ac:dyDescent="0.35">
      <c r="A31" s="43" t="s">
        <v>111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3" x14ac:dyDescent="0.3">
      <c r="A32" s="40" t="s">
        <v>0</v>
      </c>
      <c r="B32" s="41">
        <v>2015</v>
      </c>
      <c r="C32" s="41">
        <v>2016</v>
      </c>
      <c r="D32" s="41">
        <v>2017</v>
      </c>
      <c r="E32" s="41">
        <v>2018</v>
      </c>
      <c r="F32" s="41">
        <v>2019</v>
      </c>
      <c r="G32" s="41">
        <v>2020</v>
      </c>
      <c r="H32" s="41">
        <v>2021</v>
      </c>
      <c r="I32" s="41">
        <v>2022</v>
      </c>
      <c r="J32" s="41">
        <v>2023</v>
      </c>
      <c r="K32" s="41">
        <v>2024</v>
      </c>
      <c r="L32" s="41"/>
      <c r="M32" s="42" t="s">
        <v>96</v>
      </c>
    </row>
    <row r="33" spans="1:13" x14ac:dyDescent="0.3">
      <c r="A33" s="39" t="s">
        <v>12</v>
      </c>
      <c r="B33" s="23">
        <v>33.33</v>
      </c>
      <c r="C33" s="23">
        <v>35.67</v>
      </c>
      <c r="D33" s="23">
        <v>50.33</v>
      </c>
      <c r="E33" s="23">
        <v>82.58</v>
      </c>
      <c r="F33" s="23">
        <v>114.58</v>
      </c>
      <c r="G33" s="23">
        <v>31.25</v>
      </c>
      <c r="H33" s="23">
        <v>0.25</v>
      </c>
      <c r="I33" s="23">
        <v>128.66999999999999</v>
      </c>
      <c r="J33" s="23">
        <v>535.08000000000004</v>
      </c>
      <c r="K33" s="23">
        <v>754.5</v>
      </c>
      <c r="L33" s="23"/>
      <c r="M33" s="29">
        <f>L34*K33+K33</f>
        <v>1063.89745458623</v>
      </c>
    </row>
    <row r="34" spans="1:13" ht="15" thickBot="1" x14ac:dyDescent="0.35">
      <c r="A34" s="44" t="s">
        <v>121</v>
      </c>
      <c r="B34" s="31"/>
      <c r="C34" s="31">
        <f>(C33-B33)/B33</f>
        <v>7.0207020702070314E-2</v>
      </c>
      <c r="D34" s="31">
        <f t="shared" ref="D34" si="41">(D33-C33)/C33</f>
        <v>0.41098962713765058</v>
      </c>
      <c r="E34" s="31">
        <f t="shared" ref="E34" si="42">(E33-D33)/D33</f>
        <v>0.64077091198092595</v>
      </c>
      <c r="F34" s="31">
        <f t="shared" ref="F34" si="43">(F33-E33)/E33</f>
        <v>0.38750302736740133</v>
      </c>
      <c r="G34" s="31">
        <f t="shared" ref="G34" si="44">(G33-F33)/F33</f>
        <v>-0.72726479315761916</v>
      </c>
      <c r="H34" s="31">
        <f t="shared" ref="H34" si="45">(H33-G33)/G33</f>
        <v>-0.99199999999999999</v>
      </c>
      <c r="I34" s="31">
        <f t="shared" ref="I34" si="46">(I33-H33)/H33</f>
        <v>513.67999999999995</v>
      </c>
      <c r="J34" s="31">
        <f t="shared" ref="J34" si="47">(J33-I33)/I33</f>
        <v>3.1585451154115187</v>
      </c>
      <c r="K34" s="31">
        <f t="shared" ref="K34" si="48">(K33-J33)/J33</f>
        <v>0.41006952231442018</v>
      </c>
      <c r="L34" s="31">
        <f>AVERAGE(K34)</f>
        <v>0.41006952231442018</v>
      </c>
      <c r="M34" s="32"/>
    </row>
    <row r="36" spans="1:13" ht="15" thickBot="1" x14ac:dyDescent="0.35">
      <c r="A36" s="43" t="s">
        <v>112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3" x14ac:dyDescent="0.3">
      <c r="A37" s="40" t="s">
        <v>0</v>
      </c>
      <c r="B37" s="41">
        <v>2015</v>
      </c>
      <c r="C37" s="41">
        <v>2016</v>
      </c>
      <c r="D37" s="41">
        <v>2017</v>
      </c>
      <c r="E37" s="41">
        <v>2018</v>
      </c>
      <c r="F37" s="41">
        <v>2019</v>
      </c>
      <c r="G37" s="41">
        <v>2020</v>
      </c>
      <c r="H37" s="41">
        <v>2021</v>
      </c>
      <c r="I37" s="41">
        <v>2022</v>
      </c>
      <c r="J37" s="41">
        <v>2023</v>
      </c>
      <c r="K37" s="41">
        <v>2024</v>
      </c>
      <c r="L37" s="41"/>
      <c r="M37" s="42" t="s">
        <v>96</v>
      </c>
    </row>
    <row r="38" spans="1:13" x14ac:dyDescent="0.3">
      <c r="A38" s="39" t="s">
        <v>13</v>
      </c>
      <c r="B38" s="23">
        <v>19.11</v>
      </c>
      <c r="C38" s="23">
        <v>20.99</v>
      </c>
      <c r="D38" s="23">
        <v>19.489999999999998</v>
      </c>
      <c r="E38" s="23">
        <v>21.37</v>
      </c>
      <c r="F38" s="23">
        <v>19.07</v>
      </c>
      <c r="G38" s="23">
        <v>20.68</v>
      </c>
      <c r="H38" s="23">
        <v>22.4</v>
      </c>
      <c r="I38" s="23">
        <v>22.83</v>
      </c>
      <c r="J38" s="23">
        <v>16.27</v>
      </c>
      <c r="K38" s="23">
        <v>20.67</v>
      </c>
      <c r="L38" s="23"/>
      <c r="M38" s="29">
        <f>L39*K38+K38</f>
        <v>21.111633896416329</v>
      </c>
    </row>
    <row r="39" spans="1:13" ht="15" thickBot="1" x14ac:dyDescent="0.35">
      <c r="A39" s="44" t="s">
        <v>120</v>
      </c>
      <c r="B39" s="31"/>
      <c r="C39" s="31">
        <f t="shared" ref="C39:K39" si="49">(C38-B38)/B38</f>
        <v>9.8377812663526895E-2</v>
      </c>
      <c r="D39" s="31">
        <f t="shared" si="49"/>
        <v>-7.14626012386851E-2</v>
      </c>
      <c r="E39" s="31">
        <f t="shared" si="49"/>
        <v>9.6459722934838524E-2</v>
      </c>
      <c r="F39" s="31">
        <f t="shared" si="49"/>
        <v>-0.10762751520823587</v>
      </c>
      <c r="G39" s="31">
        <f t="shared" si="49"/>
        <v>8.442579968536966E-2</v>
      </c>
      <c r="H39" s="31">
        <f t="shared" si="49"/>
        <v>8.3172147001934177E-2</v>
      </c>
      <c r="I39" s="31">
        <f t="shared" si="49"/>
        <v>1.9196428571428559E-2</v>
      </c>
      <c r="J39" s="31">
        <f t="shared" si="49"/>
        <v>-0.28734121769601401</v>
      </c>
      <c r="K39" s="31">
        <f t="shared" si="49"/>
        <v>0.27043638598647834</v>
      </c>
      <c r="L39" s="31">
        <f>AVERAGE(K39,J39,I39,H39)</f>
        <v>2.1365935965956769E-2</v>
      </c>
      <c r="M39" s="32"/>
    </row>
    <row r="41" spans="1:13" ht="15" thickBot="1" x14ac:dyDescent="0.35">
      <c r="A41" s="43" t="s">
        <v>113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1:13" x14ac:dyDescent="0.3">
      <c r="A42" s="40" t="s">
        <v>0</v>
      </c>
      <c r="B42" s="41">
        <v>2015</v>
      </c>
      <c r="C42" s="41">
        <v>2016</v>
      </c>
      <c r="D42" s="41">
        <v>2017</v>
      </c>
      <c r="E42" s="41">
        <v>2018</v>
      </c>
      <c r="F42" s="41">
        <v>2019</v>
      </c>
      <c r="G42" s="41">
        <v>2020</v>
      </c>
      <c r="H42" s="41">
        <v>2021</v>
      </c>
      <c r="I42" s="41">
        <v>2022</v>
      </c>
      <c r="J42" s="41">
        <v>2023</v>
      </c>
      <c r="K42" s="41">
        <v>2024</v>
      </c>
      <c r="L42" s="41"/>
      <c r="M42" s="42" t="s">
        <v>96</v>
      </c>
    </row>
    <row r="43" spans="1:13" x14ac:dyDescent="0.3">
      <c r="A43" s="39" t="s">
        <v>14</v>
      </c>
      <c r="B43" s="23">
        <v>9.3699999999999992</v>
      </c>
      <c r="C43" s="23">
        <v>10.1</v>
      </c>
      <c r="D43" s="23">
        <v>9.76</v>
      </c>
      <c r="E43" s="23">
        <v>10.46</v>
      </c>
      <c r="F43" s="23">
        <v>9.18</v>
      </c>
      <c r="G43" s="23">
        <v>9.24</v>
      </c>
      <c r="H43" s="23">
        <v>9.84</v>
      </c>
      <c r="I43" s="23">
        <v>11.01</v>
      </c>
      <c r="J43" s="23">
        <v>8.17</v>
      </c>
      <c r="K43" s="23">
        <v>10.61</v>
      </c>
      <c r="L43" s="23"/>
      <c r="M43" s="29">
        <f>L44*K43+K43</f>
        <v>11.205602413884595</v>
      </c>
    </row>
    <row r="44" spans="1:13" ht="15" thickBot="1" x14ac:dyDescent="0.35">
      <c r="A44" s="44" t="s">
        <v>115</v>
      </c>
      <c r="B44" s="31"/>
      <c r="C44" s="31">
        <f>(C43-B43)/B43</f>
        <v>7.7908217716115308E-2</v>
      </c>
      <c r="D44" s="31">
        <f t="shared" ref="D44" si="50">(D43-C43)/C43</f>
        <v>-3.3663366336633652E-2</v>
      </c>
      <c r="E44" s="31">
        <f t="shared" ref="E44" si="51">(E43-D43)/D43</f>
        <v>7.1721311475409943E-2</v>
      </c>
      <c r="F44" s="31">
        <f t="shared" ref="F44" si="52">(F43-E43)/E43</f>
        <v>-0.12237093690248575</v>
      </c>
      <c r="G44" s="31">
        <f t="shared" ref="G44" si="53">(G43-F43)/F43</f>
        <v>6.5359477124183546E-3</v>
      </c>
      <c r="H44" s="31">
        <f t="shared" ref="H44" si="54">(H43-G43)/G43</f>
        <v>6.4935064935064901E-2</v>
      </c>
      <c r="I44" s="31">
        <f t="shared" ref="I44" si="55">(I43-H43)/H43</f>
        <v>0.11890243902439024</v>
      </c>
      <c r="J44" s="31">
        <f t="shared" ref="J44" si="56">(J43-I43)/I43</f>
        <v>-0.25794732061762032</v>
      </c>
      <c r="K44" s="31">
        <f t="shared" ref="K44" si="57">(K43-J43)/J43</f>
        <v>0.2986536107711138</v>
      </c>
      <c r="L44" s="31">
        <f>AVERAGE(K44,J44,I44,H44)</f>
        <v>5.6135948528237153E-2</v>
      </c>
      <c r="M44" s="32"/>
    </row>
    <row r="46" spans="1:13" ht="15" thickBot="1" x14ac:dyDescent="0.35">
      <c r="A46" s="43" t="s">
        <v>114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 x14ac:dyDescent="0.3">
      <c r="A47" s="41" t="s">
        <v>0</v>
      </c>
      <c r="B47" s="41">
        <v>2015</v>
      </c>
      <c r="C47" s="41">
        <v>2016</v>
      </c>
      <c r="D47" s="41">
        <v>2017</v>
      </c>
      <c r="E47" s="41">
        <v>2018</v>
      </c>
      <c r="F47" s="41">
        <v>2019</v>
      </c>
      <c r="G47" s="41">
        <v>2020</v>
      </c>
      <c r="H47" s="41">
        <v>2021</v>
      </c>
      <c r="I47" s="41">
        <v>2022</v>
      </c>
      <c r="J47" s="41">
        <v>2023</v>
      </c>
      <c r="K47" s="41">
        <v>2024</v>
      </c>
      <c r="L47" s="41"/>
      <c r="M47" s="41" t="s">
        <v>96</v>
      </c>
    </row>
    <row r="48" spans="1:13" x14ac:dyDescent="0.3">
      <c r="A48" s="33" t="s">
        <v>15</v>
      </c>
      <c r="B48" s="23">
        <v>0.81</v>
      </c>
      <c r="C48" s="23">
        <v>0.88</v>
      </c>
      <c r="D48" s="23">
        <v>0.91</v>
      </c>
      <c r="E48" s="23">
        <v>1.06</v>
      </c>
      <c r="F48" s="23">
        <v>0.91</v>
      </c>
      <c r="G48" s="23">
        <v>0.77</v>
      </c>
      <c r="H48" s="23">
        <v>0.86</v>
      </c>
      <c r="I48" s="23">
        <v>0.92</v>
      </c>
      <c r="J48" s="23">
        <v>0.65</v>
      </c>
      <c r="K48" s="23">
        <v>0.76</v>
      </c>
      <c r="L48" s="23"/>
      <c r="M48" s="23">
        <f>L49*K48+K48</f>
        <v>0.77185658274990931</v>
      </c>
    </row>
    <row r="49" spans="1:13" x14ac:dyDescent="0.3">
      <c r="A49" s="33" t="s">
        <v>116</v>
      </c>
      <c r="B49" s="23"/>
      <c r="C49" s="23">
        <f>(C48-B48)/B48</f>
        <v>8.6419753086419693E-2</v>
      </c>
      <c r="D49" s="23">
        <f t="shared" ref="D49" si="58">(D48-C48)/C48</f>
        <v>3.4090909090909123E-2</v>
      </c>
      <c r="E49" s="23">
        <f t="shared" ref="E49" si="59">(E48-D48)/D48</f>
        <v>0.16483516483516486</v>
      </c>
      <c r="F49" s="23">
        <f t="shared" ref="F49" si="60">(F48-E48)/E48</f>
        <v>-0.14150943396226418</v>
      </c>
      <c r="G49" s="23">
        <f t="shared" ref="G49" si="61">(G48-F48)/F48</f>
        <v>-0.15384615384615385</v>
      </c>
      <c r="H49" s="23">
        <f t="shared" ref="H49" si="62">(H48-G48)/G48</f>
        <v>0.11688311688311684</v>
      </c>
      <c r="I49" s="23">
        <f t="shared" ref="I49" si="63">(I48-H48)/H48</f>
        <v>6.9767441860465185E-2</v>
      </c>
      <c r="J49" s="23">
        <f t="shared" ref="J49" si="64">(J48-I48)/I48</f>
        <v>-0.29347826086956524</v>
      </c>
      <c r="K49" s="23">
        <f t="shared" ref="K49" si="65">(K48-J48)/J48</f>
        <v>0.16923076923076921</v>
      </c>
      <c r="L49" s="23">
        <f>AVERAGE(K49,J49,I49,H49)</f>
        <v>1.5600766776196498E-2</v>
      </c>
      <c r="M49" s="23"/>
    </row>
    <row r="51" spans="1:13" ht="25.8" customHeight="1" thickBot="1" x14ac:dyDescent="0.35">
      <c r="A51" s="43" t="s">
        <v>117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3" x14ac:dyDescent="0.3">
      <c r="A52" s="40" t="s">
        <v>0</v>
      </c>
      <c r="B52" s="41">
        <v>2015</v>
      </c>
      <c r="C52" s="41">
        <v>2016</v>
      </c>
      <c r="D52" s="41">
        <v>2017</v>
      </c>
      <c r="E52" s="41">
        <v>2018</v>
      </c>
      <c r="F52" s="41">
        <v>2019</v>
      </c>
      <c r="G52" s="41">
        <v>2020</v>
      </c>
      <c r="H52" s="41">
        <v>2021</v>
      </c>
      <c r="I52" s="41">
        <v>2022</v>
      </c>
      <c r="J52" s="41">
        <v>2023</v>
      </c>
      <c r="K52" s="41">
        <v>2024</v>
      </c>
      <c r="L52" s="41"/>
      <c r="M52" s="42" t="s">
        <v>96</v>
      </c>
    </row>
    <row r="53" spans="1:13" x14ac:dyDescent="0.3">
      <c r="A53" s="39" t="s">
        <v>28</v>
      </c>
      <c r="B53" s="23">
        <v>805</v>
      </c>
      <c r="C53" s="23">
        <v>807.7</v>
      </c>
      <c r="D53" s="23">
        <v>826.9</v>
      </c>
      <c r="E53" s="23">
        <v>901.5</v>
      </c>
      <c r="F53" s="23">
        <v>903.4</v>
      </c>
      <c r="G53" s="23">
        <v>871.6</v>
      </c>
      <c r="H53" s="23">
        <v>888.9</v>
      </c>
      <c r="I53" s="23">
        <v>880.1</v>
      </c>
      <c r="J53" s="23">
        <v>958.3</v>
      </c>
      <c r="K53" s="23">
        <v>953</v>
      </c>
      <c r="L53" s="23"/>
      <c r="M53" s="29">
        <f>L54*K53+K53</f>
        <v>975.22195640076234</v>
      </c>
    </row>
    <row r="54" spans="1:13" ht="15" thickBot="1" x14ac:dyDescent="0.35">
      <c r="A54" s="44" t="s">
        <v>29</v>
      </c>
      <c r="B54" s="31"/>
      <c r="C54" s="31">
        <f>(C53-B53)/B53</f>
        <v>3.3540372670808017E-3</v>
      </c>
      <c r="D54" s="31">
        <f t="shared" ref="D54" si="66">(D53-C53)/C53</f>
        <v>2.3771202179026781E-2</v>
      </c>
      <c r="E54" s="31">
        <f t="shared" ref="E54" si="67">(E53-D53)/D53</f>
        <v>9.0216471157334652E-2</v>
      </c>
      <c r="F54" s="31">
        <f t="shared" ref="F54" si="68">(F53-E53)/E53</f>
        <v>2.1075984470326982E-3</v>
      </c>
      <c r="G54" s="31">
        <f t="shared" ref="G54" si="69">(G53-F53)/F53</f>
        <v>-3.5200354217400878E-2</v>
      </c>
      <c r="H54" s="31">
        <f t="shared" ref="H54" si="70">(H53-G53)/G53</f>
        <v>1.9848554382744327E-2</v>
      </c>
      <c r="I54" s="31">
        <f t="shared" ref="I54" si="71">(I53-H53)/H53</f>
        <v>-9.8998762515468044E-3</v>
      </c>
      <c r="J54" s="31">
        <f t="shared" ref="J54" si="72">(J53-I53)/I53</f>
        <v>8.8853539370525994E-2</v>
      </c>
      <c r="K54" s="31">
        <f t="shared" ref="K54" si="73">(K53-J53)/J53</f>
        <v>-5.5306271522487264E-3</v>
      </c>
      <c r="L54" s="31">
        <f>AVERAGE(K54,J54,I54,H54)</f>
        <v>2.3317897587368699E-2</v>
      </c>
      <c r="M54" s="32"/>
    </row>
    <row r="56" spans="1:13" ht="13.8" customHeight="1" thickBot="1" x14ac:dyDescent="0.35">
      <c r="A56" s="43" t="s">
        <v>118</v>
      </c>
      <c r="B56" s="35"/>
      <c r="C56" s="35"/>
      <c r="D56" s="35"/>
      <c r="E56" s="35"/>
      <c r="F56" s="35"/>
      <c r="G56" s="34"/>
    </row>
    <row r="57" spans="1:13" x14ac:dyDescent="0.3">
      <c r="A57" s="41" t="s">
        <v>0</v>
      </c>
      <c r="B57" s="41">
        <v>2025</v>
      </c>
      <c r="C57" s="41">
        <v>2026</v>
      </c>
      <c r="D57" s="41">
        <v>2027</v>
      </c>
      <c r="E57" s="41">
        <v>2028</v>
      </c>
      <c r="F57" s="41">
        <v>2029</v>
      </c>
    </row>
    <row r="58" spans="1:13" x14ac:dyDescent="0.3">
      <c r="A58" s="33" t="s">
        <v>92</v>
      </c>
      <c r="B58" s="23">
        <v>13650</v>
      </c>
      <c r="C58" s="23">
        <v>14332.5</v>
      </c>
      <c r="D58" s="23">
        <v>15049.13</v>
      </c>
      <c r="E58" s="23">
        <v>15801.58</v>
      </c>
      <c r="F58" s="23">
        <v>16591.66</v>
      </c>
    </row>
    <row r="59" spans="1:13" x14ac:dyDescent="0.3">
      <c r="A59" s="33" t="s">
        <v>93</v>
      </c>
      <c r="B59" s="23">
        <v>0.05</v>
      </c>
      <c r="C59" s="23">
        <v>0.05</v>
      </c>
      <c r="D59" s="23">
        <v>0.05</v>
      </c>
      <c r="E59" s="23">
        <v>0.05</v>
      </c>
      <c r="F59" s="23">
        <v>0.05</v>
      </c>
    </row>
    <row r="61" spans="1:13" ht="15" thickBot="1" x14ac:dyDescent="0.35">
      <c r="A61" s="2" t="s">
        <v>119</v>
      </c>
    </row>
    <row r="62" spans="1:13" ht="15" thickBot="1" x14ac:dyDescent="0.35">
      <c r="A62" s="45" t="s">
        <v>94</v>
      </c>
      <c r="B62" s="36">
        <v>40</v>
      </c>
    </row>
    <row r="64" spans="1:13" ht="14.4" customHeight="1" x14ac:dyDescent="0.3">
      <c r="A64" s="37" t="s">
        <v>97</v>
      </c>
      <c r="B64" s="37"/>
      <c r="C64" s="37"/>
      <c r="D64" s="12"/>
    </row>
    <row r="65" spans="1:2" x14ac:dyDescent="0.3">
      <c r="A65" s="46" t="s">
        <v>102</v>
      </c>
      <c r="B65" s="1">
        <f>(13355.41*15)/100</f>
        <v>2003.3115</v>
      </c>
    </row>
  </sheetData>
  <mergeCells count="1">
    <mergeCell ref="A64:C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F81D-2475-4C36-A64D-BF8B964DAD7D}">
  <dimension ref="A1:T44"/>
  <sheetViews>
    <sheetView workbookViewId="0">
      <selection activeCell="K28" sqref="K28"/>
    </sheetView>
  </sheetViews>
  <sheetFormatPr defaultRowHeight="14.4" x14ac:dyDescent="0.3"/>
  <cols>
    <col min="3" max="3" width="12.5546875" customWidth="1"/>
    <col min="4" max="4" width="11.88671875" customWidth="1"/>
    <col min="5" max="5" width="10" customWidth="1"/>
    <col min="6" max="6" width="12.88671875" customWidth="1"/>
    <col min="7" max="7" width="13.33203125" customWidth="1"/>
    <col min="11" max="11" width="11" customWidth="1"/>
    <col min="12" max="12" width="13.33203125" customWidth="1"/>
    <col min="14" max="14" width="10.109375" customWidth="1"/>
  </cols>
  <sheetData>
    <row r="1" spans="1:20" s="1" customFormat="1" ht="15" thickBot="1" x14ac:dyDescent="0.35">
      <c r="A1" s="13" t="s">
        <v>122</v>
      </c>
      <c r="B1" s="13"/>
      <c r="C1" s="13"/>
      <c r="D1" s="13"/>
      <c r="E1" s="13"/>
      <c r="F1" s="13"/>
      <c r="G1" s="13"/>
      <c r="H1" s="13"/>
    </row>
    <row r="2" spans="1:20" ht="15" thickBot="1" x14ac:dyDescent="0.35">
      <c r="A2" s="76" t="s">
        <v>30</v>
      </c>
      <c r="B2" s="77" t="s">
        <v>31</v>
      </c>
      <c r="C2" s="77" t="s">
        <v>32</v>
      </c>
      <c r="D2" s="77" t="s">
        <v>33</v>
      </c>
      <c r="E2" s="77" t="s">
        <v>34</v>
      </c>
      <c r="F2" s="77" t="s">
        <v>5</v>
      </c>
      <c r="G2" s="77" t="s">
        <v>35</v>
      </c>
      <c r="H2" s="77" t="s">
        <v>36</v>
      </c>
      <c r="I2" s="77" t="s">
        <v>37</v>
      </c>
      <c r="J2" s="77" t="s">
        <v>38</v>
      </c>
      <c r="K2" s="77" t="s">
        <v>11</v>
      </c>
      <c r="L2" s="77" t="s">
        <v>39</v>
      </c>
      <c r="M2" s="77" t="s">
        <v>40</v>
      </c>
      <c r="N2" s="78" t="s">
        <v>41</v>
      </c>
    </row>
    <row r="3" spans="1:20" x14ac:dyDescent="0.3">
      <c r="A3" s="65"/>
      <c r="B3" s="66">
        <v>0.05</v>
      </c>
      <c r="C3" s="66">
        <v>0.06</v>
      </c>
      <c r="D3" s="66">
        <v>0.02</v>
      </c>
      <c r="E3" s="66">
        <v>0.02</v>
      </c>
      <c r="F3" s="66"/>
      <c r="G3" s="66"/>
      <c r="H3" s="66"/>
      <c r="I3" s="66"/>
      <c r="J3" s="66"/>
      <c r="K3" s="66"/>
      <c r="L3" s="66"/>
      <c r="M3" s="66"/>
      <c r="N3" s="67"/>
    </row>
    <row r="4" spans="1:20" ht="15" thickBot="1" x14ac:dyDescent="0.35">
      <c r="A4" s="68"/>
      <c r="B4" s="49">
        <v>13650</v>
      </c>
      <c r="C4" s="49">
        <v>708</v>
      </c>
      <c r="D4" s="49">
        <v>975.22195640076234</v>
      </c>
      <c r="E4" s="49">
        <v>9752.2195640076243</v>
      </c>
      <c r="F4" s="49">
        <v>83</v>
      </c>
      <c r="G4" s="49"/>
      <c r="H4" s="49"/>
      <c r="I4" s="49"/>
      <c r="J4" s="49"/>
      <c r="K4" s="49"/>
      <c r="L4" s="49"/>
      <c r="M4" s="49"/>
      <c r="N4" s="50"/>
    </row>
    <row r="5" spans="1:20" x14ac:dyDescent="0.3">
      <c r="A5" s="68">
        <v>1</v>
      </c>
      <c r="B5" s="69">
        <f>B4*1.05</f>
        <v>14332.5</v>
      </c>
      <c r="C5" s="69">
        <f>C4*1.06</f>
        <v>750.48</v>
      </c>
      <c r="D5" s="69">
        <f>D4*1.02</f>
        <v>994.72639552877763</v>
      </c>
      <c r="E5" s="69">
        <f>E4*1.02</f>
        <v>9947.2639552877772</v>
      </c>
      <c r="F5" s="49">
        <v>2</v>
      </c>
      <c r="G5" s="49">
        <v>83</v>
      </c>
      <c r="H5" s="49">
        <v>10</v>
      </c>
      <c r="I5" s="69">
        <f>D5+E5+H5+F5</f>
        <v>10953.990350816555</v>
      </c>
      <c r="J5" s="69">
        <f>I5+C5</f>
        <v>11704.470350816555</v>
      </c>
      <c r="K5" s="69">
        <f>B5-J5</f>
        <v>2628.0296491834451</v>
      </c>
      <c r="L5" s="70">
        <f>B5</f>
        <v>14332.5</v>
      </c>
      <c r="M5" s="69">
        <f>(L5-C5-1740+G5)</f>
        <v>11925.02</v>
      </c>
      <c r="N5" s="71">
        <f>M5-(L5-E5-F5)*0.21</f>
        <v>11004.540430610434</v>
      </c>
      <c r="P5" s="14" t="s">
        <v>103</v>
      </c>
      <c r="Q5" s="15"/>
      <c r="R5" s="15"/>
      <c r="S5" s="15"/>
      <c r="T5" s="16"/>
    </row>
    <row r="6" spans="1:20" ht="15" thickBot="1" x14ac:dyDescent="0.35">
      <c r="A6" s="68">
        <v>2</v>
      </c>
      <c r="B6" s="69">
        <f t="shared" ref="B6:B43" si="0">B5*1.07</f>
        <v>15335.775000000001</v>
      </c>
      <c r="C6" s="69">
        <f t="shared" ref="C6:C43" si="1">C5*1.05</f>
        <v>788.00400000000002</v>
      </c>
      <c r="D6" s="69">
        <f t="shared" ref="D6:D43" si="2">D5*1.05</f>
        <v>1044.4627153052165</v>
      </c>
      <c r="E6" s="69">
        <f t="shared" ref="E6:E43" si="3">E5*1.09</f>
        <v>10842.517711263677</v>
      </c>
      <c r="F6" s="49">
        <v>4</v>
      </c>
      <c r="G6" s="49">
        <v>79</v>
      </c>
      <c r="H6" s="49">
        <v>10</v>
      </c>
      <c r="I6" s="69">
        <f t="shared" ref="I6:I43" si="4">D6+E6+H6+F6</f>
        <v>11900.980426568894</v>
      </c>
      <c r="J6" s="69">
        <f t="shared" ref="J6:J43" si="5">I6+C6</f>
        <v>12688.984426568895</v>
      </c>
      <c r="K6" s="69">
        <f t="shared" ref="K6:K43" si="6">B6-J6</f>
        <v>2646.7905734311062</v>
      </c>
      <c r="L6" s="70">
        <f t="shared" ref="L6:L43" si="7">B6</f>
        <v>15335.775000000001</v>
      </c>
      <c r="M6" s="69">
        <f t="shared" ref="M6:M43" si="8">(L6-C6-1740+G6)</f>
        <v>12886.771000000001</v>
      </c>
      <c r="N6" s="71">
        <f t="shared" ref="N6:N43" si="9">M6-(L6-E6-F6)*0.21</f>
        <v>11944.026969365372</v>
      </c>
      <c r="P6" s="17" t="s">
        <v>104</v>
      </c>
      <c r="Q6" s="18"/>
      <c r="R6" s="18"/>
      <c r="S6" s="18"/>
      <c r="T6" s="19"/>
    </row>
    <row r="7" spans="1:20" x14ac:dyDescent="0.3">
      <c r="A7" s="68">
        <v>3</v>
      </c>
      <c r="B7" s="69">
        <f t="shared" si="0"/>
        <v>16409.279250000003</v>
      </c>
      <c r="C7" s="69">
        <f t="shared" si="1"/>
        <v>827.40420000000006</v>
      </c>
      <c r="D7" s="69">
        <f t="shared" si="2"/>
        <v>1096.6858510704774</v>
      </c>
      <c r="E7" s="69">
        <f t="shared" si="3"/>
        <v>11818.344305277409</v>
      </c>
      <c r="F7" s="49">
        <v>4</v>
      </c>
      <c r="G7" s="49">
        <v>75</v>
      </c>
      <c r="H7" s="49">
        <v>10</v>
      </c>
      <c r="I7" s="69">
        <f t="shared" si="4"/>
        <v>12929.030156347886</v>
      </c>
      <c r="J7" s="69">
        <f t="shared" si="5"/>
        <v>13756.434356347887</v>
      </c>
      <c r="K7" s="69">
        <f t="shared" si="6"/>
        <v>2652.8448936521163</v>
      </c>
      <c r="L7" s="70">
        <f t="shared" si="7"/>
        <v>16409.279250000003</v>
      </c>
      <c r="M7" s="69">
        <f t="shared" si="8"/>
        <v>13916.875050000002</v>
      </c>
      <c r="N7" s="71">
        <f t="shared" si="9"/>
        <v>12953.618711608258</v>
      </c>
    </row>
    <row r="8" spans="1:20" x14ac:dyDescent="0.3">
      <c r="A8" s="68">
        <v>4</v>
      </c>
      <c r="B8" s="69">
        <f t="shared" si="0"/>
        <v>17557.928797500004</v>
      </c>
      <c r="C8" s="69">
        <f t="shared" si="1"/>
        <v>868.7744100000001</v>
      </c>
      <c r="D8" s="69">
        <f t="shared" si="2"/>
        <v>1151.5201436240013</v>
      </c>
      <c r="E8" s="69">
        <f t="shared" si="3"/>
        <v>12881.995292752377</v>
      </c>
      <c r="F8" s="49">
        <v>4</v>
      </c>
      <c r="G8" s="49">
        <v>71</v>
      </c>
      <c r="H8" s="49">
        <v>10</v>
      </c>
      <c r="I8" s="69">
        <f t="shared" si="4"/>
        <v>14047.51543637638</v>
      </c>
      <c r="J8" s="69">
        <f t="shared" si="5"/>
        <v>14916.28984637638</v>
      </c>
      <c r="K8" s="69">
        <f t="shared" si="6"/>
        <v>2641.6389511236248</v>
      </c>
      <c r="L8" s="70">
        <f t="shared" si="7"/>
        <v>17557.928797500004</v>
      </c>
      <c r="M8" s="69">
        <f t="shared" si="8"/>
        <v>15020.154387500002</v>
      </c>
      <c r="N8" s="71">
        <f t="shared" si="9"/>
        <v>14039.048351503001</v>
      </c>
    </row>
    <row r="9" spans="1:20" x14ac:dyDescent="0.3">
      <c r="A9" s="68">
        <v>5</v>
      </c>
      <c r="B9" s="69">
        <f t="shared" si="0"/>
        <v>18786.983813325005</v>
      </c>
      <c r="C9" s="69">
        <f t="shared" si="1"/>
        <v>912.21313050000015</v>
      </c>
      <c r="D9" s="69">
        <f t="shared" si="2"/>
        <v>1209.0961508052014</v>
      </c>
      <c r="E9" s="69">
        <f t="shared" si="3"/>
        <v>14041.374869100093</v>
      </c>
      <c r="F9" s="49">
        <v>4</v>
      </c>
      <c r="G9" s="49">
        <v>67</v>
      </c>
      <c r="H9" s="49">
        <v>10</v>
      </c>
      <c r="I9" s="69">
        <f t="shared" si="4"/>
        <v>15264.471019905293</v>
      </c>
      <c r="J9" s="69">
        <f t="shared" si="5"/>
        <v>16176.684150405294</v>
      </c>
      <c r="K9" s="69">
        <f t="shared" si="6"/>
        <v>2610.2996629197114</v>
      </c>
      <c r="L9" s="70">
        <f t="shared" si="7"/>
        <v>18786.983813325005</v>
      </c>
      <c r="M9" s="69">
        <f t="shared" si="8"/>
        <v>16201.770682825005</v>
      </c>
      <c r="N9" s="71">
        <f t="shared" si="9"/>
        <v>15206.032804537774</v>
      </c>
    </row>
    <row r="10" spans="1:20" x14ac:dyDescent="0.3">
      <c r="A10" s="68">
        <v>6</v>
      </c>
      <c r="B10" s="69">
        <f t="shared" si="0"/>
        <v>20102.072680257756</v>
      </c>
      <c r="C10" s="69">
        <f t="shared" si="1"/>
        <v>957.82378702500023</v>
      </c>
      <c r="D10" s="69">
        <f t="shared" si="2"/>
        <v>1269.5509583454616</v>
      </c>
      <c r="E10" s="69">
        <f t="shared" si="3"/>
        <v>15305.098607319102</v>
      </c>
      <c r="F10" s="49">
        <v>3</v>
      </c>
      <c r="G10" s="49">
        <v>64</v>
      </c>
      <c r="H10" s="49">
        <v>10</v>
      </c>
      <c r="I10" s="69">
        <f t="shared" si="4"/>
        <v>16587.649565664564</v>
      </c>
      <c r="J10" s="69">
        <f t="shared" si="5"/>
        <v>17545.473352689565</v>
      </c>
      <c r="K10" s="69">
        <f t="shared" si="6"/>
        <v>2556.5993275681903</v>
      </c>
      <c r="L10" s="70">
        <f t="shared" si="7"/>
        <v>20102.072680257756</v>
      </c>
      <c r="M10" s="69">
        <f t="shared" si="8"/>
        <v>17468.248893232754</v>
      </c>
      <c r="N10" s="71">
        <f t="shared" si="9"/>
        <v>16461.514337915636</v>
      </c>
    </row>
    <row r="11" spans="1:20" x14ac:dyDescent="0.3">
      <c r="A11" s="68">
        <v>7</v>
      </c>
      <c r="B11" s="69">
        <f t="shared" si="0"/>
        <v>21509.217767875798</v>
      </c>
      <c r="C11" s="69">
        <f t="shared" si="1"/>
        <v>1005.7149763762503</v>
      </c>
      <c r="D11" s="69">
        <f t="shared" si="2"/>
        <v>1333.0285062627347</v>
      </c>
      <c r="E11" s="69">
        <f t="shared" si="3"/>
        <v>16682.557481977823</v>
      </c>
      <c r="F11" s="49">
        <v>3</v>
      </c>
      <c r="G11" s="49">
        <v>60</v>
      </c>
      <c r="H11" s="49">
        <v>10</v>
      </c>
      <c r="I11" s="69">
        <f t="shared" si="4"/>
        <v>18028.585988240557</v>
      </c>
      <c r="J11" s="69">
        <f t="shared" si="5"/>
        <v>19034.300964616807</v>
      </c>
      <c r="K11" s="69">
        <f t="shared" si="6"/>
        <v>2474.9168032589914</v>
      </c>
      <c r="L11" s="70">
        <f t="shared" si="7"/>
        <v>21509.217767875798</v>
      </c>
      <c r="M11" s="69">
        <f t="shared" si="8"/>
        <v>18823.502791499548</v>
      </c>
      <c r="N11" s="71">
        <f t="shared" si="9"/>
        <v>17810.534131460972</v>
      </c>
    </row>
    <row r="12" spans="1:20" x14ac:dyDescent="0.3">
      <c r="A12" s="68">
        <v>8</v>
      </c>
      <c r="B12" s="69">
        <f t="shared" si="0"/>
        <v>23014.863011627105</v>
      </c>
      <c r="C12" s="69">
        <f t="shared" si="1"/>
        <v>1056.0007251950628</v>
      </c>
      <c r="D12" s="69">
        <f t="shared" si="2"/>
        <v>1399.6799315758715</v>
      </c>
      <c r="E12" s="69">
        <f t="shared" si="3"/>
        <v>18183.987655355828</v>
      </c>
      <c r="F12" s="49">
        <v>3</v>
      </c>
      <c r="G12" s="49">
        <v>57</v>
      </c>
      <c r="H12" s="49">
        <v>10</v>
      </c>
      <c r="I12" s="69">
        <f t="shared" si="4"/>
        <v>19596.6675869317</v>
      </c>
      <c r="J12" s="69">
        <f t="shared" si="5"/>
        <v>20652.668312126763</v>
      </c>
      <c r="K12" s="69">
        <f t="shared" si="6"/>
        <v>2362.1946995003418</v>
      </c>
      <c r="L12" s="70">
        <f t="shared" si="7"/>
        <v>23014.863011627105</v>
      </c>
      <c r="M12" s="69">
        <f t="shared" si="8"/>
        <v>20275.862286432042</v>
      </c>
      <c r="N12" s="71">
        <f t="shared" si="9"/>
        <v>19262.008461615074</v>
      </c>
    </row>
    <row r="13" spans="1:20" x14ac:dyDescent="0.3">
      <c r="A13" s="68">
        <v>9</v>
      </c>
      <c r="B13" s="69">
        <f t="shared" si="0"/>
        <v>24625.903422441002</v>
      </c>
      <c r="C13" s="69">
        <f t="shared" si="1"/>
        <v>1108.800761454816</v>
      </c>
      <c r="D13" s="69">
        <f t="shared" si="2"/>
        <v>1469.6639281546652</v>
      </c>
      <c r="E13" s="69">
        <f t="shared" si="3"/>
        <v>19820.546544337853</v>
      </c>
      <c r="F13" s="49">
        <v>3</v>
      </c>
      <c r="G13" s="49">
        <v>54</v>
      </c>
      <c r="H13" s="49">
        <v>10</v>
      </c>
      <c r="I13" s="69">
        <f t="shared" si="4"/>
        <v>21303.210472492519</v>
      </c>
      <c r="J13" s="69">
        <f t="shared" si="5"/>
        <v>22412.011233947334</v>
      </c>
      <c r="K13" s="69">
        <f t="shared" si="6"/>
        <v>2213.8921884936681</v>
      </c>
      <c r="L13" s="70">
        <f t="shared" si="7"/>
        <v>24625.903422441002</v>
      </c>
      <c r="M13" s="69">
        <f t="shared" si="8"/>
        <v>21831.102660986187</v>
      </c>
      <c r="N13" s="71">
        <f t="shared" si="9"/>
        <v>20822.607716584527</v>
      </c>
    </row>
    <row r="14" spans="1:20" x14ac:dyDescent="0.3">
      <c r="A14" s="68">
        <v>10</v>
      </c>
      <c r="B14" s="69">
        <f t="shared" si="0"/>
        <v>26349.716662011873</v>
      </c>
      <c r="C14" s="69">
        <f t="shared" si="1"/>
        <v>1164.2407995275569</v>
      </c>
      <c r="D14" s="69">
        <f t="shared" si="2"/>
        <v>1543.1471245623986</v>
      </c>
      <c r="E14" s="69">
        <f t="shared" si="3"/>
        <v>21604.39573332826</v>
      </c>
      <c r="F14" s="49">
        <v>3</v>
      </c>
      <c r="G14" s="49">
        <v>52</v>
      </c>
      <c r="H14" s="49">
        <v>10</v>
      </c>
      <c r="I14" s="69">
        <f t="shared" si="4"/>
        <v>23160.542857890658</v>
      </c>
      <c r="J14" s="69">
        <f t="shared" si="5"/>
        <v>24324.783657418215</v>
      </c>
      <c r="K14" s="69">
        <f t="shared" si="6"/>
        <v>2024.9330045936586</v>
      </c>
      <c r="L14" s="70">
        <f t="shared" si="7"/>
        <v>26349.716662011873</v>
      </c>
      <c r="M14" s="69">
        <f t="shared" si="8"/>
        <v>23497.475862484316</v>
      </c>
      <c r="N14" s="71">
        <f t="shared" si="9"/>
        <v>22501.588467460759</v>
      </c>
    </row>
    <row r="15" spans="1:20" x14ac:dyDescent="0.3">
      <c r="A15" s="68">
        <v>11</v>
      </c>
      <c r="B15" s="69">
        <f t="shared" si="0"/>
        <v>28194.196828352706</v>
      </c>
      <c r="C15" s="69">
        <f t="shared" si="1"/>
        <v>1222.4528395039347</v>
      </c>
      <c r="D15" s="69">
        <f t="shared" si="2"/>
        <v>1620.3044807905187</v>
      </c>
      <c r="E15" s="69">
        <f t="shared" si="3"/>
        <v>23548.791349327807</v>
      </c>
      <c r="F15" s="49">
        <v>3</v>
      </c>
      <c r="G15" s="49">
        <v>49</v>
      </c>
      <c r="H15" s="49">
        <v>10</v>
      </c>
      <c r="I15" s="69">
        <f t="shared" si="4"/>
        <v>25182.095830118324</v>
      </c>
      <c r="J15" s="69">
        <f t="shared" si="5"/>
        <v>26404.548669622258</v>
      </c>
      <c r="K15" s="69">
        <f t="shared" si="6"/>
        <v>1789.6481587304479</v>
      </c>
      <c r="L15" s="70">
        <f t="shared" si="7"/>
        <v>28194.196828352706</v>
      </c>
      <c r="M15" s="69">
        <f t="shared" si="8"/>
        <v>25280.743988848772</v>
      </c>
      <c r="N15" s="71">
        <f t="shared" si="9"/>
        <v>24305.838838253541</v>
      </c>
    </row>
    <row r="16" spans="1:20" x14ac:dyDescent="0.3">
      <c r="A16" s="68">
        <v>12</v>
      </c>
      <c r="B16" s="69">
        <f t="shared" si="0"/>
        <v>30167.790606337396</v>
      </c>
      <c r="C16" s="69">
        <f t="shared" si="1"/>
        <v>1283.5754814791314</v>
      </c>
      <c r="D16" s="69">
        <f t="shared" si="2"/>
        <v>1701.3197048300447</v>
      </c>
      <c r="E16" s="69">
        <f t="shared" si="3"/>
        <v>25668.182570767312</v>
      </c>
      <c r="F16" s="49">
        <v>3</v>
      </c>
      <c r="G16" s="49">
        <v>46</v>
      </c>
      <c r="H16" s="49">
        <v>10</v>
      </c>
      <c r="I16" s="69">
        <f t="shared" si="4"/>
        <v>27382.502275597359</v>
      </c>
      <c r="J16" s="69">
        <f t="shared" si="5"/>
        <v>28666.077757076491</v>
      </c>
      <c r="K16" s="69">
        <f t="shared" si="6"/>
        <v>1501.7128492609045</v>
      </c>
      <c r="L16" s="70">
        <f t="shared" si="7"/>
        <v>30167.790606337396</v>
      </c>
      <c r="M16" s="69">
        <f t="shared" si="8"/>
        <v>27190.215124858263</v>
      </c>
      <c r="N16" s="71">
        <f t="shared" si="9"/>
        <v>26245.927437388546</v>
      </c>
    </row>
    <row r="17" spans="1:14" x14ac:dyDescent="0.3">
      <c r="A17" s="68">
        <v>13</v>
      </c>
      <c r="B17" s="69">
        <f t="shared" si="0"/>
        <v>32279.535948781016</v>
      </c>
      <c r="C17" s="69">
        <f t="shared" si="1"/>
        <v>1347.7542555530881</v>
      </c>
      <c r="D17" s="69">
        <f t="shared" si="2"/>
        <v>1786.3856900715471</v>
      </c>
      <c r="E17" s="69">
        <f t="shared" si="3"/>
        <v>27978.319002136373</v>
      </c>
      <c r="F17" s="49">
        <v>2</v>
      </c>
      <c r="G17" s="49">
        <v>44</v>
      </c>
      <c r="H17" s="49">
        <v>10</v>
      </c>
      <c r="I17" s="69">
        <f t="shared" si="4"/>
        <v>29776.704692207921</v>
      </c>
      <c r="J17" s="69">
        <f t="shared" si="5"/>
        <v>31124.45894776101</v>
      </c>
      <c r="K17" s="69">
        <f t="shared" si="6"/>
        <v>1155.0770010200067</v>
      </c>
      <c r="L17" s="70">
        <f t="shared" si="7"/>
        <v>32279.535948781016</v>
      </c>
      <c r="M17" s="69">
        <f t="shared" si="8"/>
        <v>29235.781693227927</v>
      </c>
      <c r="N17" s="71">
        <f t="shared" si="9"/>
        <v>28332.946134432554</v>
      </c>
    </row>
    <row r="18" spans="1:14" x14ac:dyDescent="0.3">
      <c r="A18" s="68">
        <v>14</v>
      </c>
      <c r="B18" s="69">
        <f t="shared" si="0"/>
        <v>34539.103465195687</v>
      </c>
      <c r="C18" s="69">
        <f t="shared" si="1"/>
        <v>1415.1419683307427</v>
      </c>
      <c r="D18" s="69">
        <f t="shared" si="2"/>
        <v>1875.7049745751244</v>
      </c>
      <c r="E18" s="69">
        <f t="shared" si="3"/>
        <v>30496.367712328651</v>
      </c>
      <c r="F18" s="49">
        <v>2</v>
      </c>
      <c r="G18" s="49">
        <v>42</v>
      </c>
      <c r="H18" s="49">
        <v>10</v>
      </c>
      <c r="I18" s="69">
        <f t="shared" si="4"/>
        <v>32384.072686903775</v>
      </c>
      <c r="J18" s="69">
        <f t="shared" si="5"/>
        <v>33799.214655234515</v>
      </c>
      <c r="K18" s="69">
        <f t="shared" si="6"/>
        <v>739.88880996117223</v>
      </c>
      <c r="L18" s="70">
        <f t="shared" si="7"/>
        <v>34539.103465195687</v>
      </c>
      <c r="M18" s="69">
        <f t="shared" si="8"/>
        <v>31425.961496864948</v>
      </c>
      <c r="N18" s="71">
        <f t="shared" si="9"/>
        <v>30577.406988762868</v>
      </c>
    </row>
    <row r="19" spans="1:14" x14ac:dyDescent="0.3">
      <c r="A19" s="68">
        <v>15</v>
      </c>
      <c r="B19" s="69">
        <f t="shared" si="0"/>
        <v>36956.840707759387</v>
      </c>
      <c r="C19" s="69">
        <f t="shared" si="1"/>
        <v>1485.8990667472799</v>
      </c>
      <c r="D19" s="69">
        <f t="shared" si="2"/>
        <v>1969.4902233038808</v>
      </c>
      <c r="E19" s="69">
        <f t="shared" si="3"/>
        <v>33241.040806438228</v>
      </c>
      <c r="F19" s="49">
        <v>2</v>
      </c>
      <c r="G19" s="49">
        <v>40</v>
      </c>
      <c r="H19" s="49">
        <v>10</v>
      </c>
      <c r="I19" s="69">
        <f t="shared" si="4"/>
        <v>35222.531029742109</v>
      </c>
      <c r="J19" s="69">
        <f t="shared" si="5"/>
        <v>36708.430096489392</v>
      </c>
      <c r="K19" s="69">
        <f t="shared" si="6"/>
        <v>248.41061126999557</v>
      </c>
      <c r="L19" s="70">
        <f t="shared" si="7"/>
        <v>36956.840707759387</v>
      </c>
      <c r="M19" s="69">
        <f t="shared" si="8"/>
        <v>33770.941641012105</v>
      </c>
      <c r="N19" s="71">
        <f t="shared" si="9"/>
        <v>32991.043661734664</v>
      </c>
    </row>
    <row r="20" spans="1:14" x14ac:dyDescent="0.3">
      <c r="A20" s="68">
        <v>16</v>
      </c>
      <c r="B20" s="69">
        <f t="shared" si="0"/>
        <v>39543.819557302544</v>
      </c>
      <c r="C20" s="69">
        <f t="shared" si="1"/>
        <v>1560.1940200846439</v>
      </c>
      <c r="D20" s="69">
        <f t="shared" si="2"/>
        <v>2067.9647344690748</v>
      </c>
      <c r="E20" s="69">
        <f t="shared" si="3"/>
        <v>36232.734479017672</v>
      </c>
      <c r="F20" s="49">
        <v>2</v>
      </c>
      <c r="G20" s="49">
        <v>38</v>
      </c>
      <c r="H20" s="49">
        <v>10</v>
      </c>
      <c r="I20" s="69">
        <f t="shared" si="4"/>
        <v>38312.699213486747</v>
      </c>
      <c r="J20" s="69">
        <f t="shared" si="5"/>
        <v>39872.893233571391</v>
      </c>
      <c r="K20" s="69">
        <f t="shared" si="6"/>
        <v>-329.07367626884661</v>
      </c>
      <c r="L20" s="70">
        <f t="shared" si="7"/>
        <v>39543.819557302544</v>
      </c>
      <c r="M20" s="69">
        <f t="shared" si="8"/>
        <v>36281.6255372179</v>
      </c>
      <c r="N20" s="71">
        <f t="shared" si="9"/>
        <v>35586.717670778075</v>
      </c>
    </row>
    <row r="21" spans="1:14" x14ac:dyDescent="0.3">
      <c r="A21" s="68">
        <v>17</v>
      </c>
      <c r="B21" s="69">
        <f t="shared" si="0"/>
        <v>42311.886926313724</v>
      </c>
      <c r="C21" s="69">
        <f t="shared" si="1"/>
        <v>1638.2037210888761</v>
      </c>
      <c r="D21" s="69">
        <f t="shared" si="2"/>
        <v>2171.3629711925287</v>
      </c>
      <c r="E21" s="69">
        <f t="shared" si="3"/>
        <v>39493.680582129266</v>
      </c>
      <c r="F21" s="49">
        <v>2</v>
      </c>
      <c r="G21" s="49">
        <v>36</v>
      </c>
      <c r="H21" s="49">
        <v>10</v>
      </c>
      <c r="I21" s="69">
        <f t="shared" si="4"/>
        <v>41677.043553321797</v>
      </c>
      <c r="J21" s="69">
        <f t="shared" si="5"/>
        <v>43315.247274410671</v>
      </c>
      <c r="K21" s="69">
        <f t="shared" si="6"/>
        <v>-1003.3603480969468</v>
      </c>
      <c r="L21" s="70">
        <f t="shared" si="7"/>
        <v>42311.886926313724</v>
      </c>
      <c r="M21" s="69">
        <f t="shared" si="8"/>
        <v>38969.68320522485</v>
      </c>
      <c r="N21" s="71">
        <f t="shared" si="9"/>
        <v>38378.279872946114</v>
      </c>
    </row>
    <row r="22" spans="1:14" x14ac:dyDescent="0.3">
      <c r="A22" s="68">
        <v>18</v>
      </c>
      <c r="B22" s="69">
        <f t="shared" si="0"/>
        <v>45273.719011155685</v>
      </c>
      <c r="C22" s="69">
        <f t="shared" si="1"/>
        <v>1720.1139071433199</v>
      </c>
      <c r="D22" s="69">
        <f t="shared" si="2"/>
        <v>2279.9311197521552</v>
      </c>
      <c r="E22" s="69">
        <f t="shared" si="3"/>
        <v>43048.111834520903</v>
      </c>
      <c r="F22" s="49">
        <v>2</v>
      </c>
      <c r="G22" s="49">
        <v>34</v>
      </c>
      <c r="H22" s="49">
        <v>10</v>
      </c>
      <c r="I22" s="69">
        <f t="shared" si="4"/>
        <v>45340.042954273056</v>
      </c>
      <c r="J22" s="69">
        <f t="shared" si="5"/>
        <v>47060.156861416377</v>
      </c>
      <c r="K22" s="69">
        <f t="shared" si="6"/>
        <v>-1786.4378502606924</v>
      </c>
      <c r="L22" s="70">
        <f t="shared" si="7"/>
        <v>45273.719011155685</v>
      </c>
      <c r="M22" s="69">
        <f t="shared" si="8"/>
        <v>41847.605104012364</v>
      </c>
      <c r="N22" s="71">
        <f t="shared" si="9"/>
        <v>41380.647596919058</v>
      </c>
    </row>
    <row r="23" spans="1:14" x14ac:dyDescent="0.3">
      <c r="A23" s="68">
        <v>19</v>
      </c>
      <c r="B23" s="69">
        <f t="shared" si="0"/>
        <v>48442.879341936583</v>
      </c>
      <c r="C23" s="69">
        <f t="shared" si="1"/>
        <v>1806.1196025004861</v>
      </c>
      <c r="D23" s="69">
        <f t="shared" si="2"/>
        <v>2393.9276757397629</v>
      </c>
      <c r="E23" s="69">
        <f t="shared" si="3"/>
        <v>46922.441899627789</v>
      </c>
      <c r="F23" s="49">
        <v>2</v>
      </c>
      <c r="G23" s="49">
        <v>32</v>
      </c>
      <c r="H23" s="49">
        <v>10</v>
      </c>
      <c r="I23" s="69">
        <f t="shared" si="4"/>
        <v>49328.369575367549</v>
      </c>
      <c r="J23" s="69">
        <f t="shared" si="5"/>
        <v>51134.489177868032</v>
      </c>
      <c r="K23" s="69">
        <f t="shared" si="6"/>
        <v>-2691.6098359314492</v>
      </c>
      <c r="L23" s="70">
        <f t="shared" si="7"/>
        <v>48442.879341936583</v>
      </c>
      <c r="M23" s="69">
        <f t="shared" si="8"/>
        <v>44928.7597394361</v>
      </c>
      <c r="N23" s="71">
        <f t="shared" si="9"/>
        <v>44609.887876551256</v>
      </c>
    </row>
    <row r="24" spans="1:14" x14ac:dyDescent="0.3">
      <c r="A24" s="68">
        <v>20</v>
      </c>
      <c r="B24" s="69">
        <f t="shared" si="0"/>
        <v>51833.880895872149</v>
      </c>
      <c r="C24" s="69">
        <f t="shared" si="1"/>
        <v>1896.4255826255105</v>
      </c>
      <c r="D24" s="69">
        <f t="shared" si="2"/>
        <v>2513.6240595267514</v>
      </c>
      <c r="E24" s="69">
        <f t="shared" si="3"/>
        <v>51145.461670594297</v>
      </c>
      <c r="F24" s="49">
        <v>2</v>
      </c>
      <c r="G24" s="49">
        <v>30</v>
      </c>
      <c r="H24" s="49">
        <v>10</v>
      </c>
      <c r="I24" s="69">
        <f t="shared" si="4"/>
        <v>53671.085730121049</v>
      </c>
      <c r="J24" s="69">
        <f t="shared" si="5"/>
        <v>55567.511312746559</v>
      </c>
      <c r="K24" s="69">
        <f t="shared" si="6"/>
        <v>-3733.63041687441</v>
      </c>
      <c r="L24" s="70">
        <f t="shared" si="7"/>
        <v>51833.880895872149</v>
      </c>
      <c r="M24" s="69">
        <f t="shared" si="8"/>
        <v>48227.455313246639</v>
      </c>
      <c r="N24" s="71">
        <f t="shared" si="9"/>
        <v>48083.307275938292</v>
      </c>
    </row>
    <row r="25" spans="1:14" x14ac:dyDescent="0.3">
      <c r="A25" s="68">
        <v>21</v>
      </c>
      <c r="B25" s="69">
        <f t="shared" si="0"/>
        <v>55462.252558583205</v>
      </c>
      <c r="C25" s="69">
        <f t="shared" si="1"/>
        <v>1991.2468617567861</v>
      </c>
      <c r="D25" s="69">
        <f t="shared" si="2"/>
        <v>2639.3052625030891</v>
      </c>
      <c r="E25" s="69">
        <f t="shared" si="3"/>
        <v>55748.55322094779</v>
      </c>
      <c r="F25" s="49">
        <v>2</v>
      </c>
      <c r="G25" s="49">
        <v>29</v>
      </c>
      <c r="H25" s="49">
        <v>10</v>
      </c>
      <c r="I25" s="69">
        <f t="shared" si="4"/>
        <v>58399.85848345088</v>
      </c>
      <c r="J25" s="69">
        <f t="shared" si="5"/>
        <v>60391.105345207667</v>
      </c>
      <c r="K25" s="69">
        <f t="shared" si="6"/>
        <v>-4928.8527866244622</v>
      </c>
      <c r="L25" s="70">
        <f t="shared" si="7"/>
        <v>55462.252558583205</v>
      </c>
      <c r="M25" s="69">
        <f t="shared" si="8"/>
        <v>51760.005696826418</v>
      </c>
      <c r="N25" s="71">
        <f t="shared" si="9"/>
        <v>51820.548835922978</v>
      </c>
    </row>
    <row r="26" spans="1:14" x14ac:dyDescent="0.3">
      <c r="A26" s="68">
        <v>22</v>
      </c>
      <c r="B26" s="69">
        <f t="shared" si="0"/>
        <v>59344.610237684035</v>
      </c>
      <c r="C26" s="69">
        <f t="shared" si="1"/>
        <v>2090.8092048446256</v>
      </c>
      <c r="D26" s="69">
        <f t="shared" si="2"/>
        <v>2771.2705256282438</v>
      </c>
      <c r="E26" s="69">
        <f t="shared" si="3"/>
        <v>60765.923010833096</v>
      </c>
      <c r="F26" s="49">
        <v>2</v>
      </c>
      <c r="G26" s="49">
        <v>27</v>
      </c>
      <c r="H26" s="49">
        <v>10</v>
      </c>
      <c r="I26" s="69">
        <f t="shared" si="4"/>
        <v>63549.193536461338</v>
      </c>
      <c r="J26" s="69">
        <f t="shared" si="5"/>
        <v>65640.002741305958</v>
      </c>
      <c r="K26" s="69">
        <f t="shared" si="6"/>
        <v>-6295.3925036219225</v>
      </c>
      <c r="L26" s="70">
        <f t="shared" si="7"/>
        <v>59344.610237684035</v>
      </c>
      <c r="M26" s="69">
        <f t="shared" si="8"/>
        <v>55540.801032839408</v>
      </c>
      <c r="N26" s="71">
        <f t="shared" si="9"/>
        <v>55839.696715200713</v>
      </c>
    </row>
    <row r="27" spans="1:14" x14ac:dyDescent="0.3">
      <c r="A27" s="68">
        <v>23</v>
      </c>
      <c r="B27" s="69">
        <f t="shared" si="0"/>
        <v>63498.732954321924</v>
      </c>
      <c r="C27" s="69">
        <f t="shared" si="1"/>
        <v>2195.3496650868569</v>
      </c>
      <c r="D27" s="69">
        <f t="shared" si="2"/>
        <v>2909.834051909656</v>
      </c>
      <c r="E27" s="69">
        <f t="shared" si="3"/>
        <v>66234.856081808073</v>
      </c>
      <c r="F27" s="49">
        <v>2</v>
      </c>
      <c r="G27" s="49">
        <v>26</v>
      </c>
      <c r="H27" s="49">
        <v>10</v>
      </c>
      <c r="I27" s="69">
        <f t="shared" si="4"/>
        <v>69156.690133717726</v>
      </c>
      <c r="J27" s="69">
        <f t="shared" si="5"/>
        <v>71352.039798804588</v>
      </c>
      <c r="K27" s="69">
        <f t="shared" si="6"/>
        <v>-7853.306844482664</v>
      </c>
      <c r="L27" s="70">
        <f t="shared" si="7"/>
        <v>63498.732954321924</v>
      </c>
      <c r="M27" s="69">
        <f t="shared" si="8"/>
        <v>59589.383289235069</v>
      </c>
      <c r="N27" s="71">
        <f t="shared" si="9"/>
        <v>60164.389146007161</v>
      </c>
    </row>
    <row r="28" spans="1:14" x14ac:dyDescent="0.3">
      <c r="A28" s="68">
        <v>24</v>
      </c>
      <c r="B28" s="69">
        <f t="shared" si="0"/>
        <v>67943.644261124457</v>
      </c>
      <c r="C28" s="69">
        <f t="shared" si="1"/>
        <v>2305.1171483411999</v>
      </c>
      <c r="D28" s="69">
        <f t="shared" si="2"/>
        <v>3055.3257545051388</v>
      </c>
      <c r="E28" s="69">
        <f t="shared" si="3"/>
        <v>72195.993129170805</v>
      </c>
      <c r="F28" s="49">
        <v>2</v>
      </c>
      <c r="G28" s="49">
        <v>24</v>
      </c>
      <c r="H28" s="49">
        <v>10</v>
      </c>
      <c r="I28" s="69">
        <f t="shared" si="4"/>
        <v>75263.318883675951</v>
      </c>
      <c r="J28" s="69">
        <f t="shared" si="5"/>
        <v>77568.436032017155</v>
      </c>
      <c r="K28" s="69">
        <f t="shared" si="6"/>
        <v>-9624.791770892698</v>
      </c>
      <c r="L28" s="70">
        <f t="shared" si="7"/>
        <v>67943.644261124457</v>
      </c>
      <c r="M28" s="69">
        <f t="shared" si="8"/>
        <v>63922.527112783253</v>
      </c>
      <c r="N28" s="71">
        <f t="shared" si="9"/>
        <v>64815.940375072983</v>
      </c>
    </row>
    <row r="29" spans="1:14" x14ac:dyDescent="0.3">
      <c r="A29" s="68">
        <v>25</v>
      </c>
      <c r="B29" s="69">
        <f t="shared" si="0"/>
        <v>72699.699359403166</v>
      </c>
      <c r="C29" s="69">
        <f t="shared" si="1"/>
        <v>2420.3730057582602</v>
      </c>
      <c r="D29" s="69">
        <f t="shared" si="2"/>
        <v>3208.0920422303957</v>
      </c>
      <c r="E29" s="69">
        <f t="shared" si="3"/>
        <v>78693.632510796189</v>
      </c>
      <c r="F29" s="49">
        <v>2</v>
      </c>
      <c r="G29" s="49">
        <v>23</v>
      </c>
      <c r="H29" s="49">
        <v>10</v>
      </c>
      <c r="I29" s="69">
        <f t="shared" si="4"/>
        <v>81913.724553026579</v>
      </c>
      <c r="J29" s="69">
        <f t="shared" si="5"/>
        <v>84334.097558784837</v>
      </c>
      <c r="K29" s="69">
        <f t="shared" si="6"/>
        <v>-11634.398199381671</v>
      </c>
      <c r="L29" s="70">
        <f t="shared" si="7"/>
        <v>72699.699359403166</v>
      </c>
      <c r="M29" s="69">
        <f t="shared" si="8"/>
        <v>68562.326353644909</v>
      </c>
      <c r="N29" s="71">
        <f t="shared" si="9"/>
        <v>69821.472315437437</v>
      </c>
    </row>
    <row r="30" spans="1:14" x14ac:dyDescent="0.3">
      <c r="A30" s="68">
        <v>26</v>
      </c>
      <c r="B30" s="69">
        <f t="shared" si="0"/>
        <v>77788.678314561388</v>
      </c>
      <c r="C30" s="69">
        <f t="shared" si="1"/>
        <v>2541.3916560461735</v>
      </c>
      <c r="D30" s="69">
        <f t="shared" si="2"/>
        <v>3368.4966443419157</v>
      </c>
      <c r="E30" s="69">
        <f t="shared" si="3"/>
        <v>85776.059436767857</v>
      </c>
      <c r="F30" s="49">
        <v>2</v>
      </c>
      <c r="G30" s="49">
        <v>21</v>
      </c>
      <c r="H30" s="49">
        <v>10</v>
      </c>
      <c r="I30" s="69">
        <f t="shared" si="4"/>
        <v>89156.556081109768</v>
      </c>
      <c r="J30" s="69">
        <f t="shared" si="5"/>
        <v>91697.947737155948</v>
      </c>
      <c r="K30" s="69">
        <f t="shared" si="6"/>
        <v>-13909.26942259456</v>
      </c>
      <c r="L30" s="70">
        <f t="shared" si="7"/>
        <v>77788.678314561388</v>
      </c>
      <c r="M30" s="69">
        <f t="shared" si="8"/>
        <v>73528.286658515208</v>
      </c>
      <c r="N30" s="71">
        <f t="shared" si="9"/>
        <v>75206.056694178566</v>
      </c>
    </row>
    <row r="31" spans="1:14" x14ac:dyDescent="0.3">
      <c r="A31" s="68">
        <v>27</v>
      </c>
      <c r="B31" s="69">
        <f t="shared" si="0"/>
        <v>83233.885796580696</v>
      </c>
      <c r="C31" s="69">
        <f t="shared" si="1"/>
        <v>2668.461238848482</v>
      </c>
      <c r="D31" s="69">
        <f t="shared" si="2"/>
        <v>3536.9214765590118</v>
      </c>
      <c r="E31" s="69">
        <f t="shared" si="3"/>
        <v>93495.904786076964</v>
      </c>
      <c r="F31" s="49">
        <v>2</v>
      </c>
      <c r="G31" s="49">
        <v>20</v>
      </c>
      <c r="H31" s="49">
        <v>10</v>
      </c>
      <c r="I31" s="69">
        <f t="shared" si="4"/>
        <v>97044.826262635979</v>
      </c>
      <c r="J31" s="69">
        <f t="shared" si="5"/>
        <v>99713.287501484461</v>
      </c>
      <c r="K31" s="69">
        <f t="shared" si="6"/>
        <v>-16479.401704903765</v>
      </c>
      <c r="L31" s="70">
        <f t="shared" si="7"/>
        <v>83233.885796580696</v>
      </c>
      <c r="M31" s="69">
        <f t="shared" si="8"/>
        <v>78845.424557732214</v>
      </c>
      <c r="N31" s="71">
        <f t="shared" si="9"/>
        <v>81000.868545526435</v>
      </c>
    </row>
    <row r="32" spans="1:14" x14ac:dyDescent="0.3">
      <c r="A32" s="68">
        <v>28</v>
      </c>
      <c r="B32" s="69">
        <f t="shared" si="0"/>
        <v>89060.257802341352</v>
      </c>
      <c r="C32" s="69">
        <f t="shared" si="1"/>
        <v>2801.8843007909063</v>
      </c>
      <c r="D32" s="69">
        <f t="shared" si="2"/>
        <v>3713.7675503869627</v>
      </c>
      <c r="E32" s="69">
        <f t="shared" si="3"/>
        <v>101910.53621682389</v>
      </c>
      <c r="F32" s="49">
        <v>2</v>
      </c>
      <c r="G32" s="49">
        <v>18</v>
      </c>
      <c r="H32" s="49">
        <v>10</v>
      </c>
      <c r="I32" s="69">
        <f t="shared" si="4"/>
        <v>105636.30376721086</v>
      </c>
      <c r="J32" s="69">
        <f t="shared" si="5"/>
        <v>108438.18806800176</v>
      </c>
      <c r="K32" s="69">
        <f t="shared" si="6"/>
        <v>-19377.930265660412</v>
      </c>
      <c r="L32" s="70">
        <f t="shared" si="7"/>
        <v>89060.257802341352</v>
      </c>
      <c r="M32" s="69">
        <f t="shared" si="8"/>
        <v>84536.37350155045</v>
      </c>
      <c r="N32" s="71">
        <f t="shared" si="9"/>
        <v>87235.351968591785</v>
      </c>
    </row>
    <row r="33" spans="1:14" x14ac:dyDescent="0.3">
      <c r="A33" s="68">
        <v>29</v>
      </c>
      <c r="B33" s="69">
        <f t="shared" si="0"/>
        <v>95294.475848505259</v>
      </c>
      <c r="C33" s="69">
        <f t="shared" si="1"/>
        <v>2941.9785158304517</v>
      </c>
      <c r="D33" s="69">
        <f t="shared" si="2"/>
        <v>3899.455927906311</v>
      </c>
      <c r="E33" s="69">
        <f t="shared" si="3"/>
        <v>111082.48447633805</v>
      </c>
      <c r="F33" s="49">
        <v>2</v>
      </c>
      <c r="G33" s="49">
        <v>16</v>
      </c>
      <c r="H33" s="49">
        <v>10</v>
      </c>
      <c r="I33" s="69">
        <f t="shared" si="4"/>
        <v>114993.94040424436</v>
      </c>
      <c r="J33" s="69">
        <f t="shared" si="5"/>
        <v>117935.91892007482</v>
      </c>
      <c r="K33" s="69">
        <f t="shared" si="6"/>
        <v>-22641.443071569563</v>
      </c>
      <c r="L33" s="70">
        <f t="shared" si="7"/>
        <v>95294.475848505259</v>
      </c>
      <c r="M33" s="69">
        <f t="shared" si="8"/>
        <v>90628.4973326748</v>
      </c>
      <c r="N33" s="71">
        <f t="shared" si="9"/>
        <v>93944.399144519688</v>
      </c>
    </row>
    <row r="34" spans="1:14" x14ac:dyDescent="0.3">
      <c r="A34" s="68">
        <v>30</v>
      </c>
      <c r="B34" s="69">
        <f t="shared" si="0"/>
        <v>101965.08915790063</v>
      </c>
      <c r="C34" s="69">
        <f t="shared" si="1"/>
        <v>3089.0774416219742</v>
      </c>
      <c r="D34" s="69">
        <f t="shared" si="2"/>
        <v>4094.4287243016265</v>
      </c>
      <c r="E34" s="69">
        <f t="shared" si="3"/>
        <v>121079.90807920849</v>
      </c>
      <c r="F34" s="49">
        <v>2</v>
      </c>
      <c r="G34" s="49">
        <v>15</v>
      </c>
      <c r="H34" s="49">
        <v>10</v>
      </c>
      <c r="I34" s="69">
        <f t="shared" si="4"/>
        <v>125186.33680351012</v>
      </c>
      <c r="J34" s="69">
        <f t="shared" si="5"/>
        <v>128275.41424513209</v>
      </c>
      <c r="K34" s="69">
        <f t="shared" si="6"/>
        <v>-26310.325087231467</v>
      </c>
      <c r="L34" s="70">
        <f t="shared" si="7"/>
        <v>101965.08915790063</v>
      </c>
      <c r="M34" s="69">
        <f t="shared" si="8"/>
        <v>97151.011716278648</v>
      </c>
      <c r="N34" s="71">
        <f t="shared" si="9"/>
        <v>101165.54368975329</v>
      </c>
    </row>
    <row r="35" spans="1:14" x14ac:dyDescent="0.3">
      <c r="A35" s="68">
        <v>31</v>
      </c>
      <c r="B35" s="69">
        <f t="shared" si="0"/>
        <v>109102.64539895368</v>
      </c>
      <c r="C35" s="69">
        <f t="shared" si="1"/>
        <v>3243.531313703073</v>
      </c>
      <c r="D35" s="69">
        <f t="shared" si="2"/>
        <v>4299.1501605167077</v>
      </c>
      <c r="E35" s="69">
        <f t="shared" si="3"/>
        <v>131977.09980633727</v>
      </c>
      <c r="F35" s="49">
        <v>2</v>
      </c>
      <c r="G35" s="49">
        <v>13</v>
      </c>
      <c r="H35" s="49">
        <v>10</v>
      </c>
      <c r="I35" s="69">
        <f t="shared" si="4"/>
        <v>136288.24996685397</v>
      </c>
      <c r="J35" s="69">
        <f t="shared" si="5"/>
        <v>139531.78128055704</v>
      </c>
      <c r="K35" s="69">
        <f t="shared" si="6"/>
        <v>-30429.135881603361</v>
      </c>
      <c r="L35" s="70">
        <f t="shared" si="7"/>
        <v>109102.64539895368</v>
      </c>
      <c r="M35" s="69">
        <f t="shared" si="8"/>
        <v>104132.11408525061</v>
      </c>
      <c r="N35" s="71">
        <f t="shared" si="9"/>
        <v>108936.16951080116</v>
      </c>
    </row>
    <row r="36" spans="1:14" x14ac:dyDescent="0.3">
      <c r="A36" s="68">
        <v>32</v>
      </c>
      <c r="B36" s="69">
        <f t="shared" si="0"/>
        <v>116739.83057688044</v>
      </c>
      <c r="C36" s="69">
        <f t="shared" si="1"/>
        <v>3405.707879388227</v>
      </c>
      <c r="D36" s="69">
        <f t="shared" si="2"/>
        <v>4514.1076685425433</v>
      </c>
      <c r="E36" s="69">
        <f t="shared" si="3"/>
        <v>143855.03878890764</v>
      </c>
      <c r="F36" s="49">
        <v>2</v>
      </c>
      <c r="G36" s="49">
        <v>12</v>
      </c>
      <c r="H36" s="49">
        <v>10</v>
      </c>
      <c r="I36" s="69">
        <f t="shared" si="4"/>
        <v>148381.14645745017</v>
      </c>
      <c r="J36" s="69">
        <f t="shared" si="5"/>
        <v>151786.85433683841</v>
      </c>
      <c r="K36" s="69">
        <f t="shared" si="6"/>
        <v>-35047.02375995797</v>
      </c>
      <c r="L36" s="70">
        <f t="shared" si="7"/>
        <v>116739.83057688044</v>
      </c>
      <c r="M36" s="69">
        <f t="shared" si="8"/>
        <v>111606.12269749222</v>
      </c>
      <c r="N36" s="71">
        <f t="shared" si="9"/>
        <v>117300.73642201793</v>
      </c>
    </row>
    <row r="37" spans="1:14" x14ac:dyDescent="0.3">
      <c r="A37" s="68">
        <v>33</v>
      </c>
      <c r="B37" s="69">
        <f t="shared" si="0"/>
        <v>124911.61871726208</v>
      </c>
      <c r="C37" s="69">
        <f t="shared" si="1"/>
        <v>3575.9932733576384</v>
      </c>
      <c r="D37" s="69">
        <f t="shared" si="2"/>
        <v>4739.8130519696706</v>
      </c>
      <c r="E37" s="69">
        <f t="shared" si="3"/>
        <v>156801.99227990935</v>
      </c>
      <c r="F37" s="49">
        <v>2</v>
      </c>
      <c r="G37" s="49">
        <v>10</v>
      </c>
      <c r="H37" s="49">
        <v>10</v>
      </c>
      <c r="I37" s="69">
        <f t="shared" si="4"/>
        <v>161553.805331879</v>
      </c>
      <c r="J37" s="69">
        <f t="shared" si="5"/>
        <v>165129.79860523663</v>
      </c>
      <c r="K37" s="69">
        <f t="shared" si="6"/>
        <v>-40218.179887974547</v>
      </c>
      <c r="L37" s="70">
        <f t="shared" si="7"/>
        <v>124911.61871726208</v>
      </c>
      <c r="M37" s="69">
        <f t="shared" si="8"/>
        <v>119605.62544390444</v>
      </c>
      <c r="N37" s="71">
        <f t="shared" si="9"/>
        <v>126303.02389206037</v>
      </c>
    </row>
    <row r="38" spans="1:14" x14ac:dyDescent="0.3">
      <c r="A38" s="68">
        <v>34</v>
      </c>
      <c r="B38" s="69">
        <f t="shared" si="0"/>
        <v>133655.43202747044</v>
      </c>
      <c r="C38" s="69">
        <f t="shared" si="1"/>
        <v>3754.7929370255206</v>
      </c>
      <c r="D38" s="69">
        <f t="shared" si="2"/>
        <v>4976.803704568154</v>
      </c>
      <c r="E38" s="69">
        <f t="shared" si="3"/>
        <v>170914.1715851012</v>
      </c>
      <c r="F38" s="49">
        <v>2</v>
      </c>
      <c r="G38" s="49">
        <v>9</v>
      </c>
      <c r="H38" s="49">
        <v>10</v>
      </c>
      <c r="I38" s="69">
        <f t="shared" si="4"/>
        <v>175902.97528966935</v>
      </c>
      <c r="J38" s="69">
        <f t="shared" si="5"/>
        <v>179657.76822669487</v>
      </c>
      <c r="K38" s="69">
        <f t="shared" si="6"/>
        <v>-46002.336199224432</v>
      </c>
      <c r="L38" s="70">
        <f t="shared" si="7"/>
        <v>133655.43202747044</v>
      </c>
      <c r="M38" s="69">
        <f t="shared" si="8"/>
        <v>128169.63909044492</v>
      </c>
      <c r="N38" s="71">
        <f t="shared" si="9"/>
        <v>135994.39439754738</v>
      </c>
    </row>
    <row r="39" spans="1:14" x14ac:dyDescent="0.3">
      <c r="A39" s="68">
        <v>35</v>
      </c>
      <c r="B39" s="69">
        <f t="shared" si="0"/>
        <v>143011.31226939338</v>
      </c>
      <c r="C39" s="69">
        <f t="shared" si="1"/>
        <v>3942.5325838767967</v>
      </c>
      <c r="D39" s="69">
        <f t="shared" si="2"/>
        <v>5225.6438897965618</v>
      </c>
      <c r="E39" s="69">
        <f t="shared" si="3"/>
        <v>186296.44702776032</v>
      </c>
      <c r="F39" s="49">
        <v>2</v>
      </c>
      <c r="G39" s="49">
        <v>7</v>
      </c>
      <c r="H39" s="49">
        <v>10</v>
      </c>
      <c r="I39" s="69">
        <f t="shared" si="4"/>
        <v>191534.0909175569</v>
      </c>
      <c r="J39" s="69">
        <f t="shared" si="5"/>
        <v>195476.6235014337</v>
      </c>
      <c r="K39" s="69">
        <f t="shared" si="6"/>
        <v>-52465.311232040316</v>
      </c>
      <c r="L39" s="70">
        <f t="shared" si="7"/>
        <v>143011.31226939338</v>
      </c>
      <c r="M39" s="69">
        <f t="shared" si="8"/>
        <v>137335.77968551658</v>
      </c>
      <c r="N39" s="71">
        <f t="shared" si="9"/>
        <v>146426.07798477364</v>
      </c>
    </row>
    <row r="40" spans="1:14" x14ac:dyDescent="0.3">
      <c r="A40" s="68">
        <v>36</v>
      </c>
      <c r="B40" s="69">
        <f t="shared" si="0"/>
        <v>153022.10412825094</v>
      </c>
      <c r="C40" s="69">
        <f t="shared" si="1"/>
        <v>4139.6592130706367</v>
      </c>
      <c r="D40" s="69">
        <f t="shared" si="2"/>
        <v>5486.9260842863905</v>
      </c>
      <c r="E40" s="69">
        <f t="shared" si="3"/>
        <v>203063.12726025877</v>
      </c>
      <c r="F40" s="49">
        <v>2</v>
      </c>
      <c r="G40" s="49">
        <v>5</v>
      </c>
      <c r="H40" s="49">
        <v>10</v>
      </c>
      <c r="I40" s="69">
        <f t="shared" si="4"/>
        <v>208562.05334454516</v>
      </c>
      <c r="J40" s="69">
        <f t="shared" si="5"/>
        <v>212701.7125576158</v>
      </c>
      <c r="K40" s="69">
        <f t="shared" si="6"/>
        <v>-59679.60842936486</v>
      </c>
      <c r="L40" s="70">
        <f t="shared" si="7"/>
        <v>153022.10412825094</v>
      </c>
      <c r="M40" s="69">
        <f t="shared" si="8"/>
        <v>147147.4449151803</v>
      </c>
      <c r="N40" s="71">
        <f t="shared" si="9"/>
        <v>157656.47977290195</v>
      </c>
    </row>
    <row r="41" spans="1:14" x14ac:dyDescent="0.3">
      <c r="A41" s="68">
        <v>37</v>
      </c>
      <c r="B41" s="69">
        <f t="shared" si="0"/>
        <v>163733.65141722851</v>
      </c>
      <c r="C41" s="69">
        <f t="shared" si="1"/>
        <v>4346.642173724169</v>
      </c>
      <c r="D41" s="69">
        <f t="shared" si="2"/>
        <v>5761.2723885007099</v>
      </c>
      <c r="E41" s="69">
        <f t="shared" si="3"/>
        <v>221338.80871368208</v>
      </c>
      <c r="F41" s="49">
        <v>2</v>
      </c>
      <c r="G41" s="49">
        <v>4</v>
      </c>
      <c r="H41" s="49">
        <v>10</v>
      </c>
      <c r="I41" s="69">
        <f t="shared" si="4"/>
        <v>227112.0811021828</v>
      </c>
      <c r="J41" s="69">
        <f t="shared" si="5"/>
        <v>231458.72327590696</v>
      </c>
      <c r="K41" s="69">
        <f t="shared" si="6"/>
        <v>-67725.07185867845</v>
      </c>
      <c r="L41" s="70">
        <f t="shared" si="7"/>
        <v>163733.65141722851</v>
      </c>
      <c r="M41" s="69">
        <f t="shared" si="8"/>
        <v>157651.00924350435</v>
      </c>
      <c r="N41" s="71">
        <f t="shared" si="9"/>
        <v>169748.5122757596</v>
      </c>
    </row>
    <row r="42" spans="1:14" x14ac:dyDescent="0.3">
      <c r="A42" s="68">
        <v>38</v>
      </c>
      <c r="B42" s="69">
        <f t="shared" si="0"/>
        <v>175195.00701643451</v>
      </c>
      <c r="C42" s="69">
        <f t="shared" si="1"/>
        <v>4563.9742824103778</v>
      </c>
      <c r="D42" s="69">
        <f t="shared" si="2"/>
        <v>6049.3360079257454</v>
      </c>
      <c r="E42" s="69">
        <f t="shared" si="3"/>
        <v>241259.30149791349</v>
      </c>
      <c r="F42" s="49">
        <v>2</v>
      </c>
      <c r="G42" s="49">
        <v>2</v>
      </c>
      <c r="H42" s="49">
        <v>10</v>
      </c>
      <c r="I42" s="69">
        <f t="shared" si="4"/>
        <v>247320.63750583923</v>
      </c>
      <c r="J42" s="69">
        <f t="shared" si="5"/>
        <v>251884.6117882496</v>
      </c>
      <c r="K42" s="69">
        <f t="shared" si="6"/>
        <v>-76689.604771815095</v>
      </c>
      <c r="L42" s="70">
        <f t="shared" si="7"/>
        <v>175195.00701643451</v>
      </c>
      <c r="M42" s="69">
        <f t="shared" si="8"/>
        <v>168893.03273402413</v>
      </c>
      <c r="N42" s="71">
        <f t="shared" si="9"/>
        <v>182766.95457513473</v>
      </c>
    </row>
    <row r="43" spans="1:14" x14ac:dyDescent="0.3">
      <c r="A43" s="68">
        <v>39</v>
      </c>
      <c r="B43" s="69">
        <f t="shared" si="0"/>
        <v>187458.65750758493</v>
      </c>
      <c r="C43" s="69">
        <f t="shared" si="1"/>
        <v>4792.1729965308969</v>
      </c>
      <c r="D43" s="69">
        <f t="shared" si="2"/>
        <v>6351.8028083220333</v>
      </c>
      <c r="E43" s="69">
        <f t="shared" si="3"/>
        <v>262972.63863272575</v>
      </c>
      <c r="F43" s="49">
        <v>2</v>
      </c>
      <c r="G43" s="49">
        <v>1</v>
      </c>
      <c r="H43" s="49">
        <v>10</v>
      </c>
      <c r="I43" s="69">
        <f t="shared" si="4"/>
        <v>269336.44144104776</v>
      </c>
      <c r="J43" s="69">
        <f t="shared" si="5"/>
        <v>274128.61443757865</v>
      </c>
      <c r="K43" s="69">
        <f t="shared" si="6"/>
        <v>-86669.956929993728</v>
      </c>
      <c r="L43" s="70">
        <f t="shared" si="7"/>
        <v>187458.65750758493</v>
      </c>
      <c r="M43" s="69">
        <f t="shared" si="8"/>
        <v>180927.48451105403</v>
      </c>
      <c r="N43" s="71">
        <f t="shared" si="9"/>
        <v>196785.84054733362</v>
      </c>
    </row>
    <row r="44" spans="1:14" ht="15" thickBot="1" x14ac:dyDescent="0.35">
      <c r="A44" s="72">
        <v>40</v>
      </c>
      <c r="B44" s="73">
        <f t="shared" ref="B44" si="10">B43*1.07</f>
        <v>200580.76353311588</v>
      </c>
      <c r="C44" s="73">
        <f t="shared" ref="C44" si="11">C43*1.05</f>
        <v>5031.7816463574418</v>
      </c>
      <c r="D44" s="73">
        <f t="shared" ref="D44" si="12">D43*1.05</f>
        <v>6669.3929487381356</v>
      </c>
      <c r="E44" s="73">
        <f t="shared" ref="E44" si="13">E43*1.09</f>
        <v>286640.17610967107</v>
      </c>
      <c r="F44" s="51">
        <v>1</v>
      </c>
      <c r="G44" s="51">
        <v>0</v>
      </c>
      <c r="H44" s="51">
        <v>10</v>
      </c>
      <c r="I44" s="73">
        <f t="shared" ref="I44" si="14">D44+E44+H44+F44</f>
        <v>293320.56905840919</v>
      </c>
      <c r="J44" s="73">
        <f t="shared" ref="J44" si="15">I44+C44</f>
        <v>298352.35070476664</v>
      </c>
      <c r="K44" s="73">
        <f t="shared" ref="K44" si="16">B44-J44</f>
        <v>-97771.587171650754</v>
      </c>
      <c r="L44" s="74">
        <f t="shared" ref="L44" si="17">B44</f>
        <v>200580.76353311588</v>
      </c>
      <c r="M44" s="73">
        <f t="shared" ref="M44" si="18">(L44-C44-1740+G44)</f>
        <v>193808.98188675844</v>
      </c>
      <c r="N44" s="75">
        <f t="shared" ref="N44" si="19">M44-(L44-E44-F44)*0.21</f>
        <v>211881.66852783502</v>
      </c>
    </row>
  </sheetData>
  <mergeCells count="3">
    <mergeCell ref="P5:T5"/>
    <mergeCell ref="P6:T6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2D6C-B0DE-4A83-A9ED-FBD06F5E1A34}">
  <dimension ref="A1:U44"/>
  <sheetViews>
    <sheetView workbookViewId="0">
      <selection activeCell="Q24" sqref="Q24"/>
    </sheetView>
  </sheetViews>
  <sheetFormatPr defaultRowHeight="14.4" x14ac:dyDescent="0.3"/>
  <cols>
    <col min="3" max="3" width="11.44140625" customWidth="1"/>
    <col min="4" max="4" width="12.5546875" customWidth="1"/>
    <col min="5" max="5" width="11.33203125" customWidth="1"/>
    <col min="6" max="6" width="11.88671875" customWidth="1"/>
    <col min="7" max="7" width="12.21875" customWidth="1"/>
    <col min="11" max="11" width="11.6640625" customWidth="1"/>
    <col min="12" max="12" width="12.33203125" customWidth="1"/>
    <col min="14" max="14" width="9.77734375" customWidth="1"/>
  </cols>
  <sheetData>
    <row r="1" spans="1:21" s="1" customFormat="1" ht="15" thickBot="1" x14ac:dyDescent="0.35">
      <c r="A1" s="63" t="s">
        <v>123</v>
      </c>
      <c r="B1" s="63"/>
      <c r="C1" s="63"/>
      <c r="D1" s="63"/>
      <c r="E1" s="63"/>
      <c r="F1" s="63"/>
      <c r="G1" s="63"/>
      <c r="H1" s="63"/>
      <c r="I1" s="63"/>
      <c r="J1" s="64"/>
      <c r="K1" s="64"/>
      <c r="L1" s="64"/>
      <c r="M1" s="64"/>
      <c r="N1" s="64"/>
    </row>
    <row r="2" spans="1:21" ht="15" thickBot="1" x14ac:dyDescent="0.35">
      <c r="A2" s="76" t="s">
        <v>30</v>
      </c>
      <c r="B2" s="77" t="s">
        <v>31</v>
      </c>
      <c r="C2" s="77" t="s">
        <v>32</v>
      </c>
      <c r="D2" s="77" t="s">
        <v>33</v>
      </c>
      <c r="E2" s="77" t="s">
        <v>34</v>
      </c>
      <c r="F2" s="77" t="s">
        <v>5</v>
      </c>
      <c r="G2" s="77" t="s">
        <v>35</v>
      </c>
      <c r="H2" s="77" t="s">
        <v>36</v>
      </c>
      <c r="I2" s="77" t="s">
        <v>37</v>
      </c>
      <c r="J2" s="77" t="s">
        <v>38</v>
      </c>
      <c r="K2" s="77" t="s">
        <v>11</v>
      </c>
      <c r="L2" s="77" t="s">
        <v>39</v>
      </c>
      <c r="M2" s="77" t="s">
        <v>40</v>
      </c>
      <c r="N2" s="78" t="s">
        <v>41</v>
      </c>
    </row>
    <row r="3" spans="1:21" ht="15" thickBot="1" x14ac:dyDescent="0.35">
      <c r="A3" s="65"/>
      <c r="B3" s="66">
        <v>0.05</v>
      </c>
      <c r="C3" s="66">
        <v>0.06</v>
      </c>
      <c r="D3" s="66">
        <v>0.02</v>
      </c>
      <c r="E3" s="66">
        <v>0.02</v>
      </c>
      <c r="F3" s="66"/>
      <c r="G3" s="66"/>
      <c r="H3" s="66"/>
      <c r="I3" s="66"/>
      <c r="J3" s="66"/>
      <c r="K3" s="66"/>
      <c r="L3" s="66"/>
      <c r="M3" s="66"/>
      <c r="N3" s="67"/>
    </row>
    <row r="4" spans="1:21" x14ac:dyDescent="0.3">
      <c r="A4" s="68"/>
      <c r="B4" s="49">
        <v>13650</v>
      </c>
      <c r="C4" s="49">
        <v>708</v>
      </c>
      <c r="D4" s="49">
        <v>975.22195640076234</v>
      </c>
      <c r="E4" s="49">
        <v>9752.2195640076243</v>
      </c>
      <c r="F4" s="49">
        <v>83</v>
      </c>
      <c r="G4" s="49"/>
      <c r="H4" s="49"/>
      <c r="I4" s="49"/>
      <c r="J4" s="49"/>
      <c r="K4" s="49"/>
      <c r="L4" s="49"/>
      <c r="M4" s="49"/>
      <c r="N4" s="50"/>
      <c r="P4" s="14" t="s">
        <v>103</v>
      </c>
      <c r="Q4" s="15"/>
      <c r="R4" s="15"/>
      <c r="S4" s="15"/>
      <c r="T4" s="15"/>
      <c r="U4" s="16"/>
    </row>
    <row r="5" spans="1:21" ht="14.4" customHeight="1" thickBot="1" x14ac:dyDescent="0.35">
      <c r="A5" s="68">
        <v>1</v>
      </c>
      <c r="B5" s="69">
        <f>B4*1.05</f>
        <v>14332.5</v>
      </c>
      <c r="C5" s="69">
        <f>C4*1.06</f>
        <v>750.48</v>
      </c>
      <c r="D5" s="69">
        <f>D4*1.02</f>
        <v>994.72639552877763</v>
      </c>
      <c r="E5" s="69">
        <f>E4*1.02</f>
        <v>9947.2639552877772</v>
      </c>
      <c r="F5" s="49">
        <v>2</v>
      </c>
      <c r="G5" s="49">
        <v>83</v>
      </c>
      <c r="H5" s="49">
        <v>10</v>
      </c>
      <c r="I5" s="69">
        <f>D5+E5+H5+F5</f>
        <v>10953.990350816555</v>
      </c>
      <c r="J5" s="69">
        <f>I5+C5</f>
        <v>11704.470350816555</v>
      </c>
      <c r="K5" s="69">
        <f>B5-J5</f>
        <v>2628.0296491834451</v>
      </c>
      <c r="L5" s="70">
        <f>B5</f>
        <v>14332.5</v>
      </c>
      <c r="M5" s="69">
        <f>(L5-C5-1740+G5)</f>
        <v>11925.02</v>
      </c>
      <c r="N5" s="71">
        <f>M5-(L5-E5-F5)*0.126</f>
        <v>11372.732258366261</v>
      </c>
      <c r="P5" s="20" t="s">
        <v>126</v>
      </c>
      <c r="Q5" s="21"/>
      <c r="R5" s="21"/>
      <c r="S5" s="21"/>
      <c r="T5" s="21"/>
      <c r="U5" s="22"/>
    </row>
    <row r="6" spans="1:21" x14ac:dyDescent="0.3">
      <c r="A6" s="68">
        <v>2</v>
      </c>
      <c r="B6" s="69">
        <f t="shared" ref="B6:B44" si="0">B5*1.07</f>
        <v>15335.775000000001</v>
      </c>
      <c r="C6" s="69">
        <f t="shared" ref="C6:D43" si="1">C5*1.05</f>
        <v>788.00400000000002</v>
      </c>
      <c r="D6" s="69">
        <f t="shared" si="1"/>
        <v>1044.4627153052165</v>
      </c>
      <c r="E6" s="69">
        <f t="shared" ref="E6:E44" si="2">E5*1.09</f>
        <v>10842.517711263677</v>
      </c>
      <c r="F6" s="49">
        <v>4</v>
      </c>
      <c r="G6" s="49">
        <v>79</v>
      </c>
      <c r="H6" s="49">
        <v>10</v>
      </c>
      <c r="I6" s="69">
        <f t="shared" ref="I6:I44" si="3">D6+E6+H6+F6</f>
        <v>11900.980426568894</v>
      </c>
      <c r="J6" s="69">
        <f t="shared" ref="J6:J44" si="4">I6+C6</f>
        <v>12688.984426568895</v>
      </c>
      <c r="K6" s="69">
        <f t="shared" ref="K6:K44" si="5">B6-J6</f>
        <v>2646.7905734311062</v>
      </c>
      <c r="L6" s="70">
        <f t="shared" ref="L6:L44" si="6">B6</f>
        <v>15335.775000000001</v>
      </c>
      <c r="M6" s="69">
        <f t="shared" ref="M6:M44" si="7">(L6-C6-1740+G6)</f>
        <v>12886.771000000001</v>
      </c>
      <c r="N6" s="71">
        <f t="shared" ref="N6:N44" si="8">M6-(L6-E6-F6)*0.126</f>
        <v>12321.124581619224</v>
      </c>
      <c r="P6" s="3"/>
      <c r="Q6" s="3"/>
      <c r="R6" s="3"/>
      <c r="S6" s="3"/>
      <c r="T6" s="3"/>
      <c r="U6" s="3"/>
    </row>
    <row r="7" spans="1:21" x14ac:dyDescent="0.3">
      <c r="A7" s="68">
        <v>3</v>
      </c>
      <c r="B7" s="69">
        <f t="shared" si="0"/>
        <v>16409.279250000003</v>
      </c>
      <c r="C7" s="69">
        <f t="shared" si="1"/>
        <v>827.40420000000006</v>
      </c>
      <c r="D7" s="69">
        <f t="shared" si="1"/>
        <v>1096.6858510704774</v>
      </c>
      <c r="E7" s="69">
        <f t="shared" si="2"/>
        <v>11818.344305277409</v>
      </c>
      <c r="F7" s="49">
        <v>4</v>
      </c>
      <c r="G7" s="49">
        <v>75</v>
      </c>
      <c r="H7" s="49">
        <v>10</v>
      </c>
      <c r="I7" s="69">
        <f t="shared" si="3"/>
        <v>12929.030156347886</v>
      </c>
      <c r="J7" s="69">
        <f t="shared" si="4"/>
        <v>13756.434356347887</v>
      </c>
      <c r="K7" s="69">
        <f t="shared" si="5"/>
        <v>2652.8448936521163</v>
      </c>
      <c r="L7" s="70">
        <f t="shared" si="6"/>
        <v>16409.279250000003</v>
      </c>
      <c r="M7" s="69">
        <f t="shared" si="7"/>
        <v>13916.875050000002</v>
      </c>
      <c r="N7" s="71">
        <f t="shared" si="8"/>
        <v>13338.921246964956</v>
      </c>
    </row>
    <row r="8" spans="1:21" x14ac:dyDescent="0.3">
      <c r="A8" s="68">
        <v>4</v>
      </c>
      <c r="B8" s="69">
        <f t="shared" si="0"/>
        <v>17557.928797500004</v>
      </c>
      <c r="C8" s="69">
        <f t="shared" si="1"/>
        <v>868.7744100000001</v>
      </c>
      <c r="D8" s="69">
        <f t="shared" si="1"/>
        <v>1151.5201436240013</v>
      </c>
      <c r="E8" s="69">
        <f t="shared" si="2"/>
        <v>12881.995292752377</v>
      </c>
      <c r="F8" s="49">
        <v>4</v>
      </c>
      <c r="G8" s="49">
        <v>71</v>
      </c>
      <c r="H8" s="49">
        <v>10</v>
      </c>
      <c r="I8" s="69">
        <f t="shared" si="3"/>
        <v>14047.51543637638</v>
      </c>
      <c r="J8" s="69">
        <f t="shared" si="4"/>
        <v>14916.28984637638</v>
      </c>
      <c r="K8" s="69">
        <f t="shared" si="5"/>
        <v>2641.6389511236248</v>
      </c>
      <c r="L8" s="70">
        <f t="shared" si="6"/>
        <v>17557.928797500004</v>
      </c>
      <c r="M8" s="69">
        <f t="shared" si="7"/>
        <v>15020.154387500002</v>
      </c>
      <c r="N8" s="71">
        <f t="shared" si="8"/>
        <v>14431.490765901801</v>
      </c>
    </row>
    <row r="9" spans="1:21" x14ac:dyDescent="0.3">
      <c r="A9" s="68">
        <v>5</v>
      </c>
      <c r="B9" s="69">
        <f t="shared" si="0"/>
        <v>18786.983813325005</v>
      </c>
      <c r="C9" s="69">
        <f t="shared" si="1"/>
        <v>912.21313050000015</v>
      </c>
      <c r="D9" s="69">
        <f t="shared" si="1"/>
        <v>1209.0961508052014</v>
      </c>
      <c r="E9" s="69">
        <f t="shared" si="2"/>
        <v>14041.374869100093</v>
      </c>
      <c r="F9" s="49">
        <v>4</v>
      </c>
      <c r="G9" s="49">
        <v>67</v>
      </c>
      <c r="H9" s="49">
        <v>10</v>
      </c>
      <c r="I9" s="69">
        <f t="shared" si="3"/>
        <v>15264.471019905293</v>
      </c>
      <c r="J9" s="69">
        <f t="shared" si="4"/>
        <v>16176.684150405294</v>
      </c>
      <c r="K9" s="69">
        <f t="shared" si="5"/>
        <v>2610.2996629197114</v>
      </c>
      <c r="L9" s="70">
        <f t="shared" si="6"/>
        <v>18786.983813325005</v>
      </c>
      <c r="M9" s="69">
        <f t="shared" si="7"/>
        <v>16201.770682825005</v>
      </c>
      <c r="N9" s="71">
        <f t="shared" si="8"/>
        <v>15604.327955852666</v>
      </c>
    </row>
    <row r="10" spans="1:21" x14ac:dyDescent="0.3">
      <c r="A10" s="68">
        <v>6</v>
      </c>
      <c r="B10" s="69">
        <f t="shared" si="0"/>
        <v>20102.072680257756</v>
      </c>
      <c r="C10" s="69">
        <f t="shared" si="1"/>
        <v>957.82378702500023</v>
      </c>
      <c r="D10" s="69">
        <f t="shared" si="1"/>
        <v>1269.5509583454616</v>
      </c>
      <c r="E10" s="69">
        <f t="shared" si="2"/>
        <v>15305.098607319102</v>
      </c>
      <c r="F10" s="49">
        <v>3</v>
      </c>
      <c r="G10" s="49">
        <v>64</v>
      </c>
      <c r="H10" s="49">
        <v>10</v>
      </c>
      <c r="I10" s="69">
        <f t="shared" si="3"/>
        <v>16587.649565664564</v>
      </c>
      <c r="J10" s="69">
        <f t="shared" si="4"/>
        <v>17545.473352689565</v>
      </c>
      <c r="K10" s="69">
        <f t="shared" si="5"/>
        <v>2556.5993275681903</v>
      </c>
      <c r="L10" s="70">
        <f t="shared" si="6"/>
        <v>20102.072680257756</v>
      </c>
      <c r="M10" s="69">
        <f t="shared" si="7"/>
        <v>17468.248893232754</v>
      </c>
      <c r="N10" s="71">
        <f t="shared" si="8"/>
        <v>16864.208160042483</v>
      </c>
    </row>
    <row r="11" spans="1:21" x14ac:dyDescent="0.3">
      <c r="A11" s="68">
        <v>7</v>
      </c>
      <c r="B11" s="69">
        <f t="shared" si="0"/>
        <v>21509.217767875798</v>
      </c>
      <c r="C11" s="69">
        <f t="shared" si="1"/>
        <v>1005.7149763762503</v>
      </c>
      <c r="D11" s="69">
        <f t="shared" si="1"/>
        <v>1333.0285062627347</v>
      </c>
      <c r="E11" s="69">
        <f t="shared" si="2"/>
        <v>16682.557481977823</v>
      </c>
      <c r="F11" s="49">
        <v>3</v>
      </c>
      <c r="G11" s="49">
        <v>60</v>
      </c>
      <c r="H11" s="49">
        <v>10</v>
      </c>
      <c r="I11" s="69">
        <f t="shared" si="3"/>
        <v>18028.585988240557</v>
      </c>
      <c r="J11" s="69">
        <f t="shared" si="4"/>
        <v>19034.300964616807</v>
      </c>
      <c r="K11" s="69">
        <f t="shared" si="5"/>
        <v>2474.9168032589914</v>
      </c>
      <c r="L11" s="70">
        <f t="shared" si="6"/>
        <v>21509.217767875798</v>
      </c>
      <c r="M11" s="69">
        <f t="shared" si="7"/>
        <v>18823.502791499548</v>
      </c>
      <c r="N11" s="71">
        <f t="shared" si="8"/>
        <v>18215.721595476403</v>
      </c>
    </row>
    <row r="12" spans="1:21" x14ac:dyDescent="0.3">
      <c r="A12" s="68">
        <v>8</v>
      </c>
      <c r="B12" s="69">
        <f t="shared" si="0"/>
        <v>23014.863011627105</v>
      </c>
      <c r="C12" s="69">
        <f t="shared" si="1"/>
        <v>1056.0007251950628</v>
      </c>
      <c r="D12" s="69">
        <f t="shared" si="1"/>
        <v>1399.6799315758715</v>
      </c>
      <c r="E12" s="69">
        <f t="shared" si="2"/>
        <v>18183.987655355828</v>
      </c>
      <c r="F12" s="49">
        <v>3</v>
      </c>
      <c r="G12" s="49">
        <v>57</v>
      </c>
      <c r="H12" s="49">
        <v>10</v>
      </c>
      <c r="I12" s="69">
        <f t="shared" si="3"/>
        <v>19596.6675869317</v>
      </c>
      <c r="J12" s="69">
        <f t="shared" si="4"/>
        <v>20652.668312126763</v>
      </c>
      <c r="K12" s="69">
        <f t="shared" si="5"/>
        <v>2362.1946995003418</v>
      </c>
      <c r="L12" s="70">
        <f t="shared" si="6"/>
        <v>23014.863011627105</v>
      </c>
      <c r="M12" s="69">
        <f t="shared" si="7"/>
        <v>20275.862286432042</v>
      </c>
      <c r="N12" s="71">
        <f t="shared" si="8"/>
        <v>19667.549991541862</v>
      </c>
    </row>
    <row r="13" spans="1:21" x14ac:dyDescent="0.3">
      <c r="A13" s="68">
        <v>9</v>
      </c>
      <c r="B13" s="69">
        <f t="shared" si="0"/>
        <v>24625.903422441002</v>
      </c>
      <c r="C13" s="69">
        <f t="shared" si="1"/>
        <v>1108.800761454816</v>
      </c>
      <c r="D13" s="69">
        <f t="shared" si="1"/>
        <v>1469.6639281546652</v>
      </c>
      <c r="E13" s="69">
        <f t="shared" si="2"/>
        <v>19820.546544337853</v>
      </c>
      <c r="F13" s="49">
        <v>3</v>
      </c>
      <c r="G13" s="49">
        <v>54</v>
      </c>
      <c r="H13" s="49">
        <v>10</v>
      </c>
      <c r="I13" s="69">
        <f t="shared" si="3"/>
        <v>21303.210472492519</v>
      </c>
      <c r="J13" s="69">
        <f t="shared" si="4"/>
        <v>22412.011233947334</v>
      </c>
      <c r="K13" s="69">
        <f t="shared" si="5"/>
        <v>2213.8921884936681</v>
      </c>
      <c r="L13" s="70">
        <f t="shared" si="6"/>
        <v>24625.903422441002</v>
      </c>
      <c r="M13" s="69">
        <f t="shared" si="7"/>
        <v>21831.102660986187</v>
      </c>
      <c r="N13" s="71">
        <f t="shared" si="8"/>
        <v>21226.005694345189</v>
      </c>
    </row>
    <row r="14" spans="1:21" x14ac:dyDescent="0.3">
      <c r="A14" s="68">
        <v>10</v>
      </c>
      <c r="B14" s="69">
        <f t="shared" si="0"/>
        <v>26349.716662011873</v>
      </c>
      <c r="C14" s="69">
        <f t="shared" si="1"/>
        <v>1164.2407995275569</v>
      </c>
      <c r="D14" s="69">
        <f t="shared" si="1"/>
        <v>1543.1471245623986</v>
      </c>
      <c r="E14" s="69">
        <f t="shared" si="2"/>
        <v>21604.39573332826</v>
      </c>
      <c r="F14" s="49">
        <v>3</v>
      </c>
      <c r="G14" s="49">
        <v>52</v>
      </c>
      <c r="H14" s="49">
        <v>10</v>
      </c>
      <c r="I14" s="69">
        <f t="shared" si="3"/>
        <v>23160.542857890658</v>
      </c>
      <c r="J14" s="69">
        <f t="shared" si="4"/>
        <v>24324.783657418215</v>
      </c>
      <c r="K14" s="69">
        <f t="shared" si="5"/>
        <v>2024.9330045936586</v>
      </c>
      <c r="L14" s="70">
        <f t="shared" si="6"/>
        <v>26349.716662011873</v>
      </c>
      <c r="M14" s="69">
        <f t="shared" si="7"/>
        <v>23497.475862484316</v>
      </c>
      <c r="N14" s="71">
        <f t="shared" si="8"/>
        <v>22899.943425470181</v>
      </c>
    </row>
    <row r="15" spans="1:21" x14ac:dyDescent="0.3">
      <c r="A15" s="68">
        <v>11</v>
      </c>
      <c r="B15" s="69">
        <f t="shared" si="0"/>
        <v>28194.196828352706</v>
      </c>
      <c r="C15" s="69">
        <f t="shared" si="1"/>
        <v>1222.4528395039347</v>
      </c>
      <c r="D15" s="69">
        <f t="shared" si="1"/>
        <v>1620.3044807905187</v>
      </c>
      <c r="E15" s="69">
        <f t="shared" si="2"/>
        <v>23548.791349327807</v>
      </c>
      <c r="F15" s="49">
        <v>3</v>
      </c>
      <c r="G15" s="49">
        <v>49</v>
      </c>
      <c r="H15" s="49">
        <v>10</v>
      </c>
      <c r="I15" s="69">
        <f t="shared" si="3"/>
        <v>25182.095830118324</v>
      </c>
      <c r="J15" s="69">
        <f t="shared" si="4"/>
        <v>26404.548669622258</v>
      </c>
      <c r="K15" s="69">
        <f t="shared" si="5"/>
        <v>1789.6481587304479</v>
      </c>
      <c r="L15" s="70">
        <f t="shared" si="6"/>
        <v>28194.196828352706</v>
      </c>
      <c r="M15" s="69">
        <f t="shared" si="7"/>
        <v>25280.743988848772</v>
      </c>
      <c r="N15" s="71">
        <f t="shared" si="8"/>
        <v>24695.800898491634</v>
      </c>
    </row>
    <row r="16" spans="1:21" x14ac:dyDescent="0.3">
      <c r="A16" s="68">
        <v>12</v>
      </c>
      <c r="B16" s="69">
        <f t="shared" si="0"/>
        <v>30167.790606337396</v>
      </c>
      <c r="C16" s="69">
        <f t="shared" si="1"/>
        <v>1283.5754814791314</v>
      </c>
      <c r="D16" s="69">
        <f t="shared" si="1"/>
        <v>1701.3197048300447</v>
      </c>
      <c r="E16" s="69">
        <f t="shared" si="2"/>
        <v>25668.182570767312</v>
      </c>
      <c r="F16" s="49">
        <v>3</v>
      </c>
      <c r="G16" s="49">
        <v>46</v>
      </c>
      <c r="H16" s="49">
        <v>10</v>
      </c>
      <c r="I16" s="69">
        <f t="shared" si="3"/>
        <v>27382.502275597359</v>
      </c>
      <c r="J16" s="69">
        <f t="shared" si="4"/>
        <v>28666.077757076491</v>
      </c>
      <c r="K16" s="69">
        <f t="shared" si="5"/>
        <v>1501.7128492609045</v>
      </c>
      <c r="L16" s="70">
        <f t="shared" si="6"/>
        <v>30167.790606337396</v>
      </c>
      <c r="M16" s="69">
        <f t="shared" si="7"/>
        <v>27190.215124858263</v>
      </c>
      <c r="N16" s="71">
        <f t="shared" si="8"/>
        <v>26623.642512376431</v>
      </c>
    </row>
    <row r="17" spans="1:14" x14ac:dyDescent="0.3">
      <c r="A17" s="68">
        <v>13</v>
      </c>
      <c r="B17" s="69">
        <f t="shared" si="0"/>
        <v>32279.535948781016</v>
      </c>
      <c r="C17" s="69">
        <f t="shared" si="1"/>
        <v>1347.7542555530881</v>
      </c>
      <c r="D17" s="69">
        <f t="shared" si="1"/>
        <v>1786.3856900715471</v>
      </c>
      <c r="E17" s="69">
        <f t="shared" si="2"/>
        <v>27978.319002136373</v>
      </c>
      <c r="F17" s="49">
        <v>2</v>
      </c>
      <c r="G17" s="49">
        <v>44</v>
      </c>
      <c r="H17" s="49">
        <v>10</v>
      </c>
      <c r="I17" s="69">
        <f t="shared" si="3"/>
        <v>29776.704692207921</v>
      </c>
      <c r="J17" s="69">
        <f t="shared" si="4"/>
        <v>31124.45894776101</v>
      </c>
      <c r="K17" s="69">
        <f t="shared" si="5"/>
        <v>1155.0770010200067</v>
      </c>
      <c r="L17" s="70">
        <f t="shared" si="6"/>
        <v>32279.535948781016</v>
      </c>
      <c r="M17" s="69">
        <f t="shared" si="7"/>
        <v>29235.781693227927</v>
      </c>
      <c r="N17" s="71">
        <f t="shared" si="8"/>
        <v>28694.080357950701</v>
      </c>
    </row>
    <row r="18" spans="1:14" x14ac:dyDescent="0.3">
      <c r="A18" s="68">
        <v>14</v>
      </c>
      <c r="B18" s="69">
        <f t="shared" si="0"/>
        <v>34539.103465195687</v>
      </c>
      <c r="C18" s="69">
        <f t="shared" si="1"/>
        <v>1415.1419683307427</v>
      </c>
      <c r="D18" s="69">
        <f t="shared" si="1"/>
        <v>1875.7049745751244</v>
      </c>
      <c r="E18" s="69">
        <f t="shared" si="2"/>
        <v>30496.367712328651</v>
      </c>
      <c r="F18" s="49">
        <v>2</v>
      </c>
      <c r="G18" s="49">
        <v>42</v>
      </c>
      <c r="H18" s="49">
        <v>10</v>
      </c>
      <c r="I18" s="69">
        <f t="shared" si="3"/>
        <v>32384.072686903775</v>
      </c>
      <c r="J18" s="69">
        <f t="shared" si="4"/>
        <v>33799.214655234515</v>
      </c>
      <c r="K18" s="69">
        <f t="shared" si="5"/>
        <v>739.88880996117223</v>
      </c>
      <c r="L18" s="70">
        <f t="shared" si="6"/>
        <v>34539.103465195687</v>
      </c>
      <c r="M18" s="69">
        <f t="shared" si="7"/>
        <v>31425.961496864948</v>
      </c>
      <c r="N18" s="71">
        <f t="shared" si="8"/>
        <v>30916.8287920037</v>
      </c>
    </row>
    <row r="19" spans="1:14" x14ac:dyDescent="0.3">
      <c r="A19" s="68">
        <v>15</v>
      </c>
      <c r="B19" s="69">
        <f t="shared" si="0"/>
        <v>36956.840707759387</v>
      </c>
      <c r="C19" s="69">
        <f t="shared" si="1"/>
        <v>1485.8990667472799</v>
      </c>
      <c r="D19" s="69">
        <f t="shared" si="1"/>
        <v>1969.4902233038808</v>
      </c>
      <c r="E19" s="69">
        <f t="shared" si="2"/>
        <v>33241.040806438228</v>
      </c>
      <c r="F19" s="49">
        <v>2</v>
      </c>
      <c r="G19" s="49">
        <v>40</v>
      </c>
      <c r="H19" s="49">
        <v>10</v>
      </c>
      <c r="I19" s="69">
        <f t="shared" si="3"/>
        <v>35222.531029742109</v>
      </c>
      <c r="J19" s="69">
        <f t="shared" si="4"/>
        <v>36708.430096489392</v>
      </c>
      <c r="K19" s="69">
        <f t="shared" si="5"/>
        <v>248.41061126999557</v>
      </c>
      <c r="L19" s="70">
        <f t="shared" si="6"/>
        <v>36956.840707759387</v>
      </c>
      <c r="M19" s="69">
        <f t="shared" si="7"/>
        <v>33770.941641012105</v>
      </c>
      <c r="N19" s="71">
        <f t="shared" si="8"/>
        <v>33303.002853445636</v>
      </c>
    </row>
    <row r="20" spans="1:14" x14ac:dyDescent="0.3">
      <c r="A20" s="68">
        <v>16</v>
      </c>
      <c r="B20" s="69">
        <f t="shared" si="0"/>
        <v>39543.819557302544</v>
      </c>
      <c r="C20" s="69">
        <f t="shared" si="1"/>
        <v>1560.1940200846439</v>
      </c>
      <c r="D20" s="69">
        <f t="shared" si="1"/>
        <v>2067.9647344690748</v>
      </c>
      <c r="E20" s="69">
        <f t="shared" si="2"/>
        <v>36232.734479017672</v>
      </c>
      <c r="F20" s="49">
        <v>2</v>
      </c>
      <c r="G20" s="49">
        <v>38</v>
      </c>
      <c r="H20" s="49">
        <v>10</v>
      </c>
      <c r="I20" s="69">
        <f t="shared" si="3"/>
        <v>38312.699213486747</v>
      </c>
      <c r="J20" s="69">
        <f t="shared" si="4"/>
        <v>39872.893233571391</v>
      </c>
      <c r="K20" s="69">
        <f t="shared" si="5"/>
        <v>-329.07367626884661</v>
      </c>
      <c r="L20" s="70">
        <f t="shared" si="6"/>
        <v>39543.819557302544</v>
      </c>
      <c r="M20" s="69">
        <f t="shared" si="7"/>
        <v>36281.6255372179</v>
      </c>
      <c r="N20" s="71">
        <f t="shared" si="8"/>
        <v>35864.680817354005</v>
      </c>
    </row>
    <row r="21" spans="1:14" x14ac:dyDescent="0.3">
      <c r="A21" s="68">
        <v>17</v>
      </c>
      <c r="B21" s="69">
        <f t="shared" si="0"/>
        <v>42311.886926313724</v>
      </c>
      <c r="C21" s="69">
        <f t="shared" si="1"/>
        <v>1638.2037210888761</v>
      </c>
      <c r="D21" s="69">
        <f t="shared" si="1"/>
        <v>2171.3629711925287</v>
      </c>
      <c r="E21" s="69">
        <f t="shared" si="2"/>
        <v>39493.680582129266</v>
      </c>
      <c r="F21" s="49">
        <v>2</v>
      </c>
      <c r="G21" s="49">
        <v>36</v>
      </c>
      <c r="H21" s="49">
        <v>10</v>
      </c>
      <c r="I21" s="69">
        <f t="shared" si="3"/>
        <v>41677.043553321797</v>
      </c>
      <c r="J21" s="69">
        <f t="shared" si="4"/>
        <v>43315.247274410671</v>
      </c>
      <c r="K21" s="69">
        <f t="shared" si="5"/>
        <v>-1003.3603480969468</v>
      </c>
      <c r="L21" s="70">
        <f t="shared" si="6"/>
        <v>42311.886926313724</v>
      </c>
      <c r="M21" s="69">
        <f t="shared" si="7"/>
        <v>38969.68320522485</v>
      </c>
      <c r="N21" s="71">
        <f t="shared" si="8"/>
        <v>38614.841205857607</v>
      </c>
    </row>
    <row r="22" spans="1:14" x14ac:dyDescent="0.3">
      <c r="A22" s="68">
        <v>18</v>
      </c>
      <c r="B22" s="69">
        <f t="shared" si="0"/>
        <v>45273.719011155685</v>
      </c>
      <c r="C22" s="69">
        <f t="shared" si="1"/>
        <v>1720.1139071433199</v>
      </c>
      <c r="D22" s="69">
        <f t="shared" si="1"/>
        <v>2279.9311197521552</v>
      </c>
      <c r="E22" s="69">
        <f t="shared" si="2"/>
        <v>43048.111834520903</v>
      </c>
      <c r="F22" s="49">
        <v>2</v>
      </c>
      <c r="G22" s="49">
        <v>34</v>
      </c>
      <c r="H22" s="49">
        <v>10</v>
      </c>
      <c r="I22" s="69">
        <f t="shared" si="3"/>
        <v>45340.042954273056</v>
      </c>
      <c r="J22" s="69">
        <f t="shared" si="4"/>
        <v>47060.156861416377</v>
      </c>
      <c r="K22" s="69">
        <f t="shared" si="5"/>
        <v>-1786.4378502606924</v>
      </c>
      <c r="L22" s="70">
        <f t="shared" si="6"/>
        <v>45273.719011155685</v>
      </c>
      <c r="M22" s="69">
        <f t="shared" si="7"/>
        <v>41847.605104012364</v>
      </c>
      <c r="N22" s="71">
        <f t="shared" si="8"/>
        <v>41567.430599756379</v>
      </c>
    </row>
    <row r="23" spans="1:14" x14ac:dyDescent="0.3">
      <c r="A23" s="68">
        <v>19</v>
      </c>
      <c r="B23" s="69">
        <f t="shared" si="0"/>
        <v>48442.879341936583</v>
      </c>
      <c r="C23" s="69">
        <f t="shared" si="1"/>
        <v>1806.1196025004861</v>
      </c>
      <c r="D23" s="69">
        <f t="shared" si="1"/>
        <v>2393.9276757397629</v>
      </c>
      <c r="E23" s="69">
        <f t="shared" si="2"/>
        <v>46922.441899627789</v>
      </c>
      <c r="F23" s="49">
        <v>2</v>
      </c>
      <c r="G23" s="49">
        <v>32</v>
      </c>
      <c r="H23" s="49">
        <v>10</v>
      </c>
      <c r="I23" s="69">
        <f t="shared" si="3"/>
        <v>49328.369575367549</v>
      </c>
      <c r="J23" s="69">
        <f t="shared" si="4"/>
        <v>51134.489177868032</v>
      </c>
      <c r="K23" s="69">
        <f t="shared" si="5"/>
        <v>-2691.6098359314492</v>
      </c>
      <c r="L23" s="70">
        <f t="shared" si="6"/>
        <v>48442.879341936583</v>
      </c>
      <c r="M23" s="69">
        <f t="shared" si="7"/>
        <v>44928.7597394361</v>
      </c>
      <c r="N23" s="71">
        <f t="shared" si="8"/>
        <v>44737.436621705194</v>
      </c>
    </row>
    <row r="24" spans="1:14" x14ac:dyDescent="0.3">
      <c r="A24" s="68">
        <v>20</v>
      </c>
      <c r="B24" s="69">
        <f t="shared" si="0"/>
        <v>51833.880895872149</v>
      </c>
      <c r="C24" s="69">
        <f t="shared" si="1"/>
        <v>1896.4255826255105</v>
      </c>
      <c r="D24" s="69">
        <f t="shared" si="1"/>
        <v>2513.6240595267514</v>
      </c>
      <c r="E24" s="69">
        <f t="shared" si="2"/>
        <v>51145.461670594297</v>
      </c>
      <c r="F24" s="49">
        <v>2</v>
      </c>
      <c r="G24" s="49">
        <v>30</v>
      </c>
      <c r="H24" s="49">
        <v>10</v>
      </c>
      <c r="I24" s="69">
        <f t="shared" si="3"/>
        <v>53671.085730121049</v>
      </c>
      <c r="J24" s="69">
        <f t="shared" si="4"/>
        <v>55567.511312746559</v>
      </c>
      <c r="K24" s="69">
        <f t="shared" si="5"/>
        <v>-3733.63041687441</v>
      </c>
      <c r="L24" s="70">
        <f t="shared" si="6"/>
        <v>51833.880895872149</v>
      </c>
      <c r="M24" s="69">
        <f t="shared" si="7"/>
        <v>48227.455313246639</v>
      </c>
      <c r="N24" s="71">
        <f t="shared" si="8"/>
        <v>48140.966490861632</v>
      </c>
    </row>
    <row r="25" spans="1:14" x14ac:dyDescent="0.3">
      <c r="A25" s="68">
        <v>21</v>
      </c>
      <c r="B25" s="69">
        <f t="shared" si="0"/>
        <v>55462.252558583205</v>
      </c>
      <c r="C25" s="69">
        <f t="shared" si="1"/>
        <v>1991.2468617567861</v>
      </c>
      <c r="D25" s="69">
        <f t="shared" si="1"/>
        <v>2639.3052625030891</v>
      </c>
      <c r="E25" s="69">
        <f t="shared" si="2"/>
        <v>55748.55322094779</v>
      </c>
      <c r="F25" s="49">
        <v>2</v>
      </c>
      <c r="G25" s="49">
        <v>29</v>
      </c>
      <c r="H25" s="49">
        <v>10</v>
      </c>
      <c r="I25" s="69">
        <f t="shared" si="3"/>
        <v>58399.85848345088</v>
      </c>
      <c r="J25" s="69">
        <f t="shared" si="4"/>
        <v>60391.105345207667</v>
      </c>
      <c r="K25" s="69">
        <f t="shared" si="5"/>
        <v>-4928.8527866244622</v>
      </c>
      <c r="L25" s="70">
        <f t="shared" si="6"/>
        <v>55462.252558583205</v>
      </c>
      <c r="M25" s="69">
        <f t="shared" si="7"/>
        <v>51760.005696826418</v>
      </c>
      <c r="N25" s="71">
        <f t="shared" si="8"/>
        <v>51796.331580284357</v>
      </c>
    </row>
    <row r="26" spans="1:14" x14ac:dyDescent="0.3">
      <c r="A26" s="68">
        <v>22</v>
      </c>
      <c r="B26" s="69">
        <f t="shared" si="0"/>
        <v>59344.610237684035</v>
      </c>
      <c r="C26" s="69">
        <f t="shared" si="1"/>
        <v>2090.8092048446256</v>
      </c>
      <c r="D26" s="69">
        <f t="shared" si="1"/>
        <v>2771.2705256282438</v>
      </c>
      <c r="E26" s="69">
        <f t="shared" si="2"/>
        <v>60765.923010833096</v>
      </c>
      <c r="F26" s="49">
        <v>2</v>
      </c>
      <c r="G26" s="49">
        <v>27</v>
      </c>
      <c r="H26" s="49">
        <v>10</v>
      </c>
      <c r="I26" s="69">
        <f t="shared" si="3"/>
        <v>63549.193536461338</v>
      </c>
      <c r="J26" s="69">
        <f t="shared" si="4"/>
        <v>65640.002741305958</v>
      </c>
      <c r="K26" s="69">
        <f t="shared" si="5"/>
        <v>-6295.3925036219225</v>
      </c>
      <c r="L26" s="70">
        <f t="shared" si="6"/>
        <v>59344.610237684035</v>
      </c>
      <c r="M26" s="69">
        <f t="shared" si="7"/>
        <v>55540.801032839408</v>
      </c>
      <c r="N26" s="71">
        <f t="shared" si="8"/>
        <v>55720.13844225619</v>
      </c>
    </row>
    <row r="27" spans="1:14" x14ac:dyDescent="0.3">
      <c r="A27" s="68">
        <v>23</v>
      </c>
      <c r="B27" s="69">
        <f t="shared" si="0"/>
        <v>63498.732954321924</v>
      </c>
      <c r="C27" s="69">
        <f t="shared" si="1"/>
        <v>2195.3496650868569</v>
      </c>
      <c r="D27" s="69">
        <f t="shared" si="1"/>
        <v>2909.834051909656</v>
      </c>
      <c r="E27" s="69">
        <f t="shared" si="2"/>
        <v>66234.856081808073</v>
      </c>
      <c r="F27" s="49">
        <v>2</v>
      </c>
      <c r="G27" s="49">
        <v>26</v>
      </c>
      <c r="H27" s="49">
        <v>10</v>
      </c>
      <c r="I27" s="69">
        <f t="shared" si="3"/>
        <v>69156.690133717726</v>
      </c>
      <c r="J27" s="69">
        <f t="shared" si="4"/>
        <v>71352.039798804588</v>
      </c>
      <c r="K27" s="69">
        <f t="shared" si="5"/>
        <v>-7853.306844482664</v>
      </c>
      <c r="L27" s="70">
        <f t="shared" si="6"/>
        <v>63498.732954321924</v>
      </c>
      <c r="M27" s="69">
        <f t="shared" si="7"/>
        <v>59589.383289235069</v>
      </c>
      <c r="N27" s="71">
        <f t="shared" si="8"/>
        <v>59934.386803298323</v>
      </c>
    </row>
    <row r="28" spans="1:14" x14ac:dyDescent="0.3">
      <c r="A28" s="68">
        <v>24</v>
      </c>
      <c r="B28" s="69">
        <f t="shared" si="0"/>
        <v>67943.644261124457</v>
      </c>
      <c r="C28" s="69">
        <f t="shared" si="1"/>
        <v>2305.1171483411999</v>
      </c>
      <c r="D28" s="69">
        <f t="shared" si="1"/>
        <v>3055.3257545051388</v>
      </c>
      <c r="E28" s="69">
        <f t="shared" si="2"/>
        <v>72195.993129170805</v>
      </c>
      <c r="F28" s="49">
        <v>2</v>
      </c>
      <c r="G28" s="49">
        <v>24</v>
      </c>
      <c r="H28" s="49">
        <v>10</v>
      </c>
      <c r="I28" s="69">
        <f t="shared" si="3"/>
        <v>75263.318883675951</v>
      </c>
      <c r="J28" s="69">
        <f t="shared" si="4"/>
        <v>77568.436032017155</v>
      </c>
      <c r="K28" s="69">
        <f t="shared" si="5"/>
        <v>-9624.791770892698</v>
      </c>
      <c r="L28" s="70">
        <f t="shared" si="6"/>
        <v>67943.644261124457</v>
      </c>
      <c r="M28" s="69">
        <f t="shared" si="7"/>
        <v>63922.527112783253</v>
      </c>
      <c r="N28" s="71">
        <f t="shared" si="8"/>
        <v>64458.575070157094</v>
      </c>
    </row>
    <row r="29" spans="1:14" x14ac:dyDescent="0.3">
      <c r="A29" s="68">
        <v>25</v>
      </c>
      <c r="B29" s="69">
        <f t="shared" si="0"/>
        <v>72699.699359403166</v>
      </c>
      <c r="C29" s="69">
        <f t="shared" si="1"/>
        <v>2420.3730057582602</v>
      </c>
      <c r="D29" s="69">
        <f t="shared" si="1"/>
        <v>3208.0920422303957</v>
      </c>
      <c r="E29" s="69">
        <f t="shared" si="2"/>
        <v>78693.632510796189</v>
      </c>
      <c r="F29" s="49">
        <v>2</v>
      </c>
      <c r="G29" s="49">
        <v>23</v>
      </c>
      <c r="H29" s="49">
        <v>10</v>
      </c>
      <c r="I29" s="69">
        <f t="shared" si="3"/>
        <v>81913.724553026579</v>
      </c>
      <c r="J29" s="69">
        <f t="shared" si="4"/>
        <v>84334.097558784837</v>
      </c>
      <c r="K29" s="69">
        <f t="shared" si="5"/>
        <v>-11634.398199381671</v>
      </c>
      <c r="L29" s="70">
        <f t="shared" si="6"/>
        <v>72699.699359403166</v>
      </c>
      <c r="M29" s="69">
        <f t="shared" si="7"/>
        <v>68562.326353644909</v>
      </c>
      <c r="N29" s="71">
        <f t="shared" si="8"/>
        <v>69317.813930720426</v>
      </c>
    </row>
    <row r="30" spans="1:14" x14ac:dyDescent="0.3">
      <c r="A30" s="68">
        <v>26</v>
      </c>
      <c r="B30" s="69">
        <f t="shared" si="0"/>
        <v>77788.678314561388</v>
      </c>
      <c r="C30" s="69">
        <f t="shared" si="1"/>
        <v>2541.3916560461735</v>
      </c>
      <c r="D30" s="69">
        <f t="shared" si="1"/>
        <v>3368.4966443419157</v>
      </c>
      <c r="E30" s="69">
        <f t="shared" si="2"/>
        <v>85776.059436767857</v>
      </c>
      <c r="F30" s="49">
        <v>2</v>
      </c>
      <c r="G30" s="49">
        <v>21</v>
      </c>
      <c r="H30" s="49">
        <v>10</v>
      </c>
      <c r="I30" s="69">
        <f t="shared" si="3"/>
        <v>89156.556081109768</v>
      </c>
      <c r="J30" s="69">
        <f t="shared" si="4"/>
        <v>91697.947737155948</v>
      </c>
      <c r="K30" s="69">
        <f t="shared" si="5"/>
        <v>-13909.26942259456</v>
      </c>
      <c r="L30" s="70">
        <f t="shared" si="6"/>
        <v>77788.678314561388</v>
      </c>
      <c r="M30" s="69">
        <f t="shared" si="7"/>
        <v>73528.286658515208</v>
      </c>
      <c r="N30" s="71">
        <f t="shared" si="8"/>
        <v>74534.948679913228</v>
      </c>
    </row>
    <row r="31" spans="1:14" x14ac:dyDescent="0.3">
      <c r="A31" s="68">
        <v>27</v>
      </c>
      <c r="B31" s="69">
        <f t="shared" si="0"/>
        <v>83233.885796580696</v>
      </c>
      <c r="C31" s="69">
        <f t="shared" si="1"/>
        <v>2668.461238848482</v>
      </c>
      <c r="D31" s="69">
        <f t="shared" si="1"/>
        <v>3536.9214765590118</v>
      </c>
      <c r="E31" s="69">
        <f t="shared" si="2"/>
        <v>93495.904786076964</v>
      </c>
      <c r="F31" s="49">
        <v>2</v>
      </c>
      <c r="G31" s="49">
        <v>20</v>
      </c>
      <c r="H31" s="49">
        <v>10</v>
      </c>
      <c r="I31" s="69">
        <f t="shared" si="3"/>
        <v>97044.826262635979</v>
      </c>
      <c r="J31" s="69">
        <f t="shared" si="4"/>
        <v>99713.287501484461</v>
      </c>
      <c r="K31" s="69">
        <f t="shared" si="5"/>
        <v>-16479.401704903765</v>
      </c>
      <c r="L31" s="70">
        <f t="shared" si="6"/>
        <v>83233.885796580696</v>
      </c>
      <c r="M31" s="69">
        <f t="shared" si="7"/>
        <v>78845.424557732214</v>
      </c>
      <c r="N31" s="71">
        <f t="shared" si="8"/>
        <v>80138.690950408738</v>
      </c>
    </row>
    <row r="32" spans="1:14" x14ac:dyDescent="0.3">
      <c r="A32" s="68">
        <v>28</v>
      </c>
      <c r="B32" s="69">
        <f t="shared" si="0"/>
        <v>89060.257802341352</v>
      </c>
      <c r="C32" s="69">
        <f t="shared" si="1"/>
        <v>2801.8843007909063</v>
      </c>
      <c r="D32" s="69">
        <f t="shared" si="1"/>
        <v>3713.7675503869627</v>
      </c>
      <c r="E32" s="69">
        <f t="shared" si="2"/>
        <v>101910.53621682389</v>
      </c>
      <c r="F32" s="49">
        <v>2</v>
      </c>
      <c r="G32" s="49">
        <v>18</v>
      </c>
      <c r="H32" s="49">
        <v>10</v>
      </c>
      <c r="I32" s="69">
        <f t="shared" si="3"/>
        <v>105636.30376721086</v>
      </c>
      <c r="J32" s="69">
        <f t="shared" si="4"/>
        <v>108438.18806800176</v>
      </c>
      <c r="K32" s="69">
        <f t="shared" si="5"/>
        <v>-19377.930265660412</v>
      </c>
      <c r="L32" s="70">
        <f t="shared" si="6"/>
        <v>89060.257802341352</v>
      </c>
      <c r="M32" s="69">
        <f t="shared" si="7"/>
        <v>84536.37350155045</v>
      </c>
      <c r="N32" s="71">
        <f t="shared" si="8"/>
        <v>86155.760581775248</v>
      </c>
    </row>
    <row r="33" spans="1:14" x14ac:dyDescent="0.3">
      <c r="A33" s="68">
        <v>29</v>
      </c>
      <c r="B33" s="69">
        <f t="shared" si="0"/>
        <v>95294.475848505259</v>
      </c>
      <c r="C33" s="69">
        <f t="shared" si="1"/>
        <v>2941.9785158304517</v>
      </c>
      <c r="D33" s="69">
        <f t="shared" si="1"/>
        <v>3899.455927906311</v>
      </c>
      <c r="E33" s="69">
        <f t="shared" si="2"/>
        <v>111082.48447633805</v>
      </c>
      <c r="F33" s="49">
        <v>2</v>
      </c>
      <c r="G33" s="49">
        <v>16</v>
      </c>
      <c r="H33" s="49">
        <v>10</v>
      </c>
      <c r="I33" s="69">
        <f t="shared" si="3"/>
        <v>114993.94040424436</v>
      </c>
      <c r="J33" s="69">
        <f t="shared" si="4"/>
        <v>117935.91892007482</v>
      </c>
      <c r="K33" s="69">
        <f t="shared" si="5"/>
        <v>-22641.443071569563</v>
      </c>
      <c r="L33" s="70">
        <f t="shared" si="6"/>
        <v>95294.475848505259</v>
      </c>
      <c r="M33" s="69">
        <f t="shared" si="7"/>
        <v>90628.4973326748</v>
      </c>
      <c r="N33" s="71">
        <f t="shared" si="8"/>
        <v>92618.038419781733</v>
      </c>
    </row>
    <row r="34" spans="1:14" x14ac:dyDescent="0.3">
      <c r="A34" s="68">
        <v>30</v>
      </c>
      <c r="B34" s="69">
        <f t="shared" si="0"/>
        <v>101965.08915790063</v>
      </c>
      <c r="C34" s="69">
        <f t="shared" si="1"/>
        <v>3089.0774416219742</v>
      </c>
      <c r="D34" s="69">
        <f t="shared" si="1"/>
        <v>4094.4287243016265</v>
      </c>
      <c r="E34" s="69">
        <f t="shared" si="2"/>
        <v>121079.90807920849</v>
      </c>
      <c r="F34" s="49">
        <v>2</v>
      </c>
      <c r="G34" s="49">
        <v>15</v>
      </c>
      <c r="H34" s="49">
        <v>10</v>
      </c>
      <c r="I34" s="69">
        <f t="shared" si="3"/>
        <v>125186.33680351012</v>
      </c>
      <c r="J34" s="69">
        <f t="shared" si="4"/>
        <v>128275.41424513209</v>
      </c>
      <c r="K34" s="69">
        <f t="shared" si="5"/>
        <v>-26310.325087231467</v>
      </c>
      <c r="L34" s="70">
        <f t="shared" si="6"/>
        <v>101965.08915790063</v>
      </c>
      <c r="M34" s="69">
        <f t="shared" si="7"/>
        <v>97151.011716278648</v>
      </c>
      <c r="N34" s="71">
        <f t="shared" si="8"/>
        <v>99559.730900363444</v>
      </c>
    </row>
    <row r="35" spans="1:14" x14ac:dyDescent="0.3">
      <c r="A35" s="68">
        <v>31</v>
      </c>
      <c r="B35" s="69">
        <f t="shared" si="0"/>
        <v>109102.64539895368</v>
      </c>
      <c r="C35" s="69">
        <f t="shared" si="1"/>
        <v>3243.531313703073</v>
      </c>
      <c r="D35" s="69">
        <f t="shared" si="1"/>
        <v>4299.1501605167077</v>
      </c>
      <c r="E35" s="69">
        <f t="shared" si="2"/>
        <v>131977.09980633727</v>
      </c>
      <c r="F35" s="49">
        <v>2</v>
      </c>
      <c r="G35" s="49">
        <v>13</v>
      </c>
      <c r="H35" s="49">
        <v>10</v>
      </c>
      <c r="I35" s="69">
        <f t="shared" si="3"/>
        <v>136288.24996685397</v>
      </c>
      <c r="J35" s="69">
        <f t="shared" si="4"/>
        <v>139531.78128055704</v>
      </c>
      <c r="K35" s="69">
        <f t="shared" si="5"/>
        <v>-30429.135881603361</v>
      </c>
      <c r="L35" s="70">
        <f t="shared" si="6"/>
        <v>109102.64539895368</v>
      </c>
      <c r="M35" s="69">
        <f t="shared" si="7"/>
        <v>104132.11408525061</v>
      </c>
      <c r="N35" s="71">
        <f t="shared" si="8"/>
        <v>107014.54734058093</v>
      </c>
    </row>
    <row r="36" spans="1:14" x14ac:dyDescent="0.3">
      <c r="A36" s="68">
        <v>32</v>
      </c>
      <c r="B36" s="69">
        <f t="shared" si="0"/>
        <v>116739.83057688044</v>
      </c>
      <c r="C36" s="69">
        <f t="shared" si="1"/>
        <v>3405.707879388227</v>
      </c>
      <c r="D36" s="69">
        <f t="shared" si="1"/>
        <v>4514.1076685425433</v>
      </c>
      <c r="E36" s="69">
        <f t="shared" si="2"/>
        <v>143855.03878890764</v>
      </c>
      <c r="F36" s="49">
        <v>2</v>
      </c>
      <c r="G36" s="49">
        <v>12</v>
      </c>
      <c r="H36" s="49">
        <v>10</v>
      </c>
      <c r="I36" s="69">
        <f t="shared" si="3"/>
        <v>148381.14645745017</v>
      </c>
      <c r="J36" s="69">
        <f t="shared" si="4"/>
        <v>151786.85433683841</v>
      </c>
      <c r="K36" s="69">
        <f t="shared" si="5"/>
        <v>-35047.02375995797</v>
      </c>
      <c r="L36" s="70">
        <f t="shared" si="6"/>
        <v>116739.83057688044</v>
      </c>
      <c r="M36" s="69">
        <f t="shared" si="7"/>
        <v>111606.12269749222</v>
      </c>
      <c r="N36" s="71">
        <f t="shared" si="8"/>
        <v>115022.89093220765</v>
      </c>
    </row>
    <row r="37" spans="1:14" x14ac:dyDescent="0.3">
      <c r="A37" s="68">
        <v>33</v>
      </c>
      <c r="B37" s="69">
        <f t="shared" si="0"/>
        <v>124911.61871726208</v>
      </c>
      <c r="C37" s="69">
        <f t="shared" si="1"/>
        <v>3575.9932733576384</v>
      </c>
      <c r="D37" s="69">
        <f t="shared" si="1"/>
        <v>4739.8130519696706</v>
      </c>
      <c r="E37" s="69">
        <f t="shared" si="2"/>
        <v>156801.99227990935</v>
      </c>
      <c r="F37" s="49">
        <v>2</v>
      </c>
      <c r="G37" s="49">
        <v>10</v>
      </c>
      <c r="H37" s="49">
        <v>10</v>
      </c>
      <c r="I37" s="69">
        <f t="shared" si="3"/>
        <v>161553.805331879</v>
      </c>
      <c r="J37" s="69">
        <f t="shared" si="4"/>
        <v>165129.79860523663</v>
      </c>
      <c r="K37" s="69">
        <f t="shared" si="5"/>
        <v>-40218.179887974547</v>
      </c>
      <c r="L37" s="70">
        <f t="shared" si="6"/>
        <v>124911.61871726208</v>
      </c>
      <c r="M37" s="69">
        <f t="shared" si="7"/>
        <v>119605.62544390444</v>
      </c>
      <c r="N37" s="71">
        <f t="shared" si="8"/>
        <v>123624.064512798</v>
      </c>
    </row>
    <row r="38" spans="1:14" x14ac:dyDescent="0.3">
      <c r="A38" s="68">
        <v>34</v>
      </c>
      <c r="B38" s="69">
        <f t="shared" si="0"/>
        <v>133655.43202747044</v>
      </c>
      <c r="C38" s="69">
        <f t="shared" si="1"/>
        <v>3754.7929370255206</v>
      </c>
      <c r="D38" s="69">
        <f t="shared" si="1"/>
        <v>4976.803704568154</v>
      </c>
      <c r="E38" s="69">
        <f t="shared" si="2"/>
        <v>170914.1715851012</v>
      </c>
      <c r="F38" s="49">
        <v>2</v>
      </c>
      <c r="G38" s="49">
        <v>9</v>
      </c>
      <c r="H38" s="49">
        <v>10</v>
      </c>
      <c r="I38" s="69">
        <f t="shared" si="3"/>
        <v>175902.97528966935</v>
      </c>
      <c r="J38" s="69">
        <f t="shared" si="4"/>
        <v>179657.76822669487</v>
      </c>
      <c r="K38" s="69">
        <f t="shared" si="5"/>
        <v>-46002.336199224432</v>
      </c>
      <c r="L38" s="70">
        <f t="shared" si="6"/>
        <v>133655.43202747044</v>
      </c>
      <c r="M38" s="69">
        <f t="shared" si="7"/>
        <v>128169.63909044492</v>
      </c>
      <c r="N38" s="71">
        <f t="shared" si="8"/>
        <v>132864.4922747064</v>
      </c>
    </row>
    <row r="39" spans="1:14" x14ac:dyDescent="0.3">
      <c r="A39" s="68">
        <v>35</v>
      </c>
      <c r="B39" s="69">
        <f t="shared" si="0"/>
        <v>143011.31226939338</v>
      </c>
      <c r="C39" s="69">
        <f t="shared" si="1"/>
        <v>3942.5325838767967</v>
      </c>
      <c r="D39" s="69">
        <f t="shared" si="1"/>
        <v>5225.6438897965618</v>
      </c>
      <c r="E39" s="69">
        <f t="shared" si="2"/>
        <v>186296.44702776032</v>
      </c>
      <c r="F39" s="49">
        <v>2</v>
      </c>
      <c r="G39" s="49">
        <v>7</v>
      </c>
      <c r="H39" s="49">
        <v>10</v>
      </c>
      <c r="I39" s="69">
        <f t="shared" si="3"/>
        <v>191534.0909175569</v>
      </c>
      <c r="J39" s="69">
        <f t="shared" si="4"/>
        <v>195476.6235014337</v>
      </c>
      <c r="K39" s="69">
        <f t="shared" si="5"/>
        <v>-52465.311232040316</v>
      </c>
      <c r="L39" s="70">
        <f t="shared" si="6"/>
        <v>143011.31226939338</v>
      </c>
      <c r="M39" s="69">
        <f t="shared" si="7"/>
        <v>137335.77968551658</v>
      </c>
      <c r="N39" s="71">
        <f t="shared" si="8"/>
        <v>142789.95866507082</v>
      </c>
    </row>
    <row r="40" spans="1:14" x14ac:dyDescent="0.3">
      <c r="A40" s="68">
        <v>36</v>
      </c>
      <c r="B40" s="69">
        <f t="shared" si="0"/>
        <v>153022.10412825094</v>
      </c>
      <c r="C40" s="69">
        <f t="shared" si="1"/>
        <v>4139.6592130706367</v>
      </c>
      <c r="D40" s="69">
        <f t="shared" si="1"/>
        <v>5486.9260842863905</v>
      </c>
      <c r="E40" s="69">
        <f t="shared" si="2"/>
        <v>203063.12726025877</v>
      </c>
      <c r="F40" s="49">
        <v>2</v>
      </c>
      <c r="G40" s="49">
        <v>5</v>
      </c>
      <c r="H40" s="49">
        <v>10</v>
      </c>
      <c r="I40" s="69">
        <f t="shared" si="3"/>
        <v>208562.05334454516</v>
      </c>
      <c r="J40" s="69">
        <f t="shared" si="4"/>
        <v>212701.7125576158</v>
      </c>
      <c r="K40" s="69">
        <f t="shared" si="5"/>
        <v>-59679.60842936486</v>
      </c>
      <c r="L40" s="70">
        <f t="shared" si="6"/>
        <v>153022.10412825094</v>
      </c>
      <c r="M40" s="69">
        <f t="shared" si="7"/>
        <v>147147.4449151803</v>
      </c>
      <c r="N40" s="71">
        <f t="shared" si="8"/>
        <v>153452.86582981329</v>
      </c>
    </row>
    <row r="41" spans="1:14" x14ac:dyDescent="0.3">
      <c r="A41" s="68">
        <v>37</v>
      </c>
      <c r="B41" s="69">
        <f t="shared" si="0"/>
        <v>163733.65141722851</v>
      </c>
      <c r="C41" s="69">
        <f t="shared" si="1"/>
        <v>4346.642173724169</v>
      </c>
      <c r="D41" s="69">
        <f t="shared" si="1"/>
        <v>5761.2723885007099</v>
      </c>
      <c r="E41" s="69">
        <f t="shared" si="2"/>
        <v>221338.80871368208</v>
      </c>
      <c r="F41" s="49">
        <v>2</v>
      </c>
      <c r="G41" s="49">
        <v>4</v>
      </c>
      <c r="H41" s="49">
        <v>10</v>
      </c>
      <c r="I41" s="69">
        <f t="shared" si="3"/>
        <v>227112.0811021828</v>
      </c>
      <c r="J41" s="69">
        <f t="shared" si="4"/>
        <v>231458.72327590696</v>
      </c>
      <c r="K41" s="69">
        <f t="shared" si="5"/>
        <v>-67725.07185867845</v>
      </c>
      <c r="L41" s="70">
        <f t="shared" si="6"/>
        <v>163733.65141722851</v>
      </c>
      <c r="M41" s="69">
        <f t="shared" si="7"/>
        <v>157651.00924350435</v>
      </c>
      <c r="N41" s="71">
        <f t="shared" si="8"/>
        <v>164909.51106285749</v>
      </c>
    </row>
    <row r="42" spans="1:14" x14ac:dyDescent="0.3">
      <c r="A42" s="68">
        <v>38</v>
      </c>
      <c r="B42" s="69">
        <f t="shared" si="0"/>
        <v>175195.00701643451</v>
      </c>
      <c r="C42" s="69">
        <f t="shared" si="1"/>
        <v>4563.9742824103778</v>
      </c>
      <c r="D42" s="69">
        <f t="shared" si="1"/>
        <v>6049.3360079257454</v>
      </c>
      <c r="E42" s="69">
        <f t="shared" si="2"/>
        <v>241259.30149791349</v>
      </c>
      <c r="F42" s="49">
        <v>2</v>
      </c>
      <c r="G42" s="49">
        <v>2</v>
      </c>
      <c r="H42" s="49">
        <v>10</v>
      </c>
      <c r="I42" s="69">
        <f t="shared" si="3"/>
        <v>247320.63750583923</v>
      </c>
      <c r="J42" s="69">
        <f t="shared" si="4"/>
        <v>251884.6117882496</v>
      </c>
      <c r="K42" s="69">
        <f t="shared" si="5"/>
        <v>-76689.604771815095</v>
      </c>
      <c r="L42" s="70">
        <f t="shared" si="6"/>
        <v>175195.00701643451</v>
      </c>
      <c r="M42" s="69">
        <f t="shared" si="7"/>
        <v>168893.03273402413</v>
      </c>
      <c r="N42" s="71">
        <f t="shared" si="8"/>
        <v>177217.38583869048</v>
      </c>
    </row>
    <row r="43" spans="1:14" x14ac:dyDescent="0.3">
      <c r="A43" s="68">
        <v>39</v>
      </c>
      <c r="B43" s="69">
        <f t="shared" si="0"/>
        <v>187458.65750758493</v>
      </c>
      <c r="C43" s="69">
        <f t="shared" si="1"/>
        <v>4792.1729965308969</v>
      </c>
      <c r="D43" s="69">
        <f t="shared" si="1"/>
        <v>6351.8028083220333</v>
      </c>
      <c r="E43" s="69">
        <f t="shared" si="2"/>
        <v>262972.63863272575</v>
      </c>
      <c r="F43" s="49">
        <v>2</v>
      </c>
      <c r="G43" s="49">
        <v>1</v>
      </c>
      <c r="H43" s="49">
        <v>10</v>
      </c>
      <c r="I43" s="69">
        <f t="shared" si="3"/>
        <v>269336.44144104776</v>
      </c>
      <c r="J43" s="69">
        <f t="shared" si="4"/>
        <v>274128.61443757865</v>
      </c>
      <c r="K43" s="69">
        <f t="shared" si="5"/>
        <v>-86669.956929993728</v>
      </c>
      <c r="L43" s="70">
        <f t="shared" si="6"/>
        <v>187458.65750758493</v>
      </c>
      <c r="M43" s="69">
        <f t="shared" si="7"/>
        <v>180927.48451105403</v>
      </c>
      <c r="N43" s="71">
        <f t="shared" si="8"/>
        <v>190442.49813282178</v>
      </c>
    </row>
    <row r="44" spans="1:14" ht="15" thickBot="1" x14ac:dyDescent="0.35">
      <c r="A44" s="72">
        <v>40</v>
      </c>
      <c r="B44" s="73">
        <f t="shared" si="0"/>
        <v>200580.76353311588</v>
      </c>
      <c r="C44" s="73">
        <f t="shared" ref="C44:D44" si="9">C43*1.05</f>
        <v>5031.7816463574418</v>
      </c>
      <c r="D44" s="73">
        <f t="shared" si="9"/>
        <v>6669.3929487381356</v>
      </c>
      <c r="E44" s="73">
        <f t="shared" si="2"/>
        <v>286640.17610967107</v>
      </c>
      <c r="F44" s="51">
        <v>1</v>
      </c>
      <c r="G44" s="51">
        <v>0</v>
      </c>
      <c r="H44" s="51">
        <v>10</v>
      </c>
      <c r="I44" s="73">
        <f t="shared" si="3"/>
        <v>293320.56905840919</v>
      </c>
      <c r="J44" s="73">
        <f t="shared" si="4"/>
        <v>298352.35070476664</v>
      </c>
      <c r="K44" s="73">
        <f t="shared" si="5"/>
        <v>-97771.587171650754</v>
      </c>
      <c r="L44" s="74">
        <f t="shared" si="6"/>
        <v>200580.76353311588</v>
      </c>
      <c r="M44" s="73">
        <f t="shared" si="7"/>
        <v>193808.98188675844</v>
      </c>
      <c r="N44" s="75">
        <f t="shared" si="8"/>
        <v>204652.59387140439</v>
      </c>
    </row>
  </sheetData>
  <mergeCells count="3">
    <mergeCell ref="A1:I1"/>
    <mergeCell ref="P5:U5"/>
    <mergeCell ref="P4:U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9801-15F5-481D-A88C-4905D1CAABB4}">
  <dimension ref="A1:G50"/>
  <sheetViews>
    <sheetView workbookViewId="0">
      <selection sqref="A1:E1"/>
    </sheetView>
  </sheetViews>
  <sheetFormatPr defaultRowHeight="14.4" x14ac:dyDescent="0.3"/>
  <cols>
    <col min="1" max="1" width="15.5546875" customWidth="1"/>
    <col min="2" max="2" width="14.21875" customWidth="1"/>
    <col min="3" max="3" width="20.44140625" customWidth="1"/>
  </cols>
  <sheetData>
    <row r="1" spans="1:7" ht="15" thickBot="1" x14ac:dyDescent="0.35">
      <c r="A1" s="13" t="s">
        <v>124</v>
      </c>
      <c r="B1" s="13"/>
      <c r="C1" s="13"/>
      <c r="D1" s="13"/>
      <c r="E1" s="13"/>
      <c r="F1" s="2"/>
      <c r="G1" s="2"/>
    </row>
    <row r="2" spans="1:7" x14ac:dyDescent="0.3">
      <c r="A2" s="38"/>
      <c r="B2" s="79" t="s">
        <v>42</v>
      </c>
      <c r="C2" s="80" t="s">
        <v>43</v>
      </c>
    </row>
    <row r="3" spans="1:7" x14ac:dyDescent="0.3">
      <c r="A3" s="28" t="s">
        <v>44</v>
      </c>
      <c r="B3" s="23">
        <v>-2003.3114446142499</v>
      </c>
      <c r="C3" s="29">
        <v>-2003.3114446142499</v>
      </c>
    </row>
    <row r="4" spans="1:7" x14ac:dyDescent="0.3">
      <c r="A4" s="28" t="s">
        <v>45</v>
      </c>
      <c r="B4" s="23">
        <v>43.74</v>
      </c>
      <c r="C4" s="29">
        <f>SUM(B4,C3)</f>
        <v>-1959.5714446142499</v>
      </c>
    </row>
    <row r="5" spans="1:7" x14ac:dyDescent="0.3">
      <c r="A5" s="28" t="s">
        <v>46</v>
      </c>
      <c r="B5" s="23">
        <v>113.25</v>
      </c>
      <c r="C5" s="29">
        <f t="shared" ref="C5:C43" si="0">SUM(B5,C4)</f>
        <v>-1846.3214446142499</v>
      </c>
    </row>
    <row r="6" spans="1:7" x14ac:dyDescent="0.3">
      <c r="A6" s="28" t="s">
        <v>47</v>
      </c>
      <c r="B6" s="23">
        <v>182.73</v>
      </c>
      <c r="C6" s="29">
        <f t="shared" si="0"/>
        <v>-1663.5914446142499</v>
      </c>
    </row>
    <row r="7" spans="1:7" x14ac:dyDescent="0.3">
      <c r="A7" s="28" t="s">
        <v>48</v>
      </c>
      <c r="B7" s="23">
        <v>316.70999999999998</v>
      </c>
      <c r="C7" s="29">
        <f t="shared" si="0"/>
        <v>-1346.8814446142499</v>
      </c>
    </row>
    <row r="8" spans="1:7" x14ac:dyDescent="0.3">
      <c r="A8" s="28" t="s">
        <v>49</v>
      </c>
      <c r="B8" s="23">
        <v>384.19</v>
      </c>
      <c r="C8" s="29">
        <f t="shared" si="0"/>
        <v>-962.6914446142498</v>
      </c>
    </row>
    <row r="9" spans="1:7" x14ac:dyDescent="0.3">
      <c r="A9" s="28" t="s">
        <v>50</v>
      </c>
      <c r="B9" s="23">
        <v>446.82</v>
      </c>
      <c r="C9" s="29">
        <f t="shared" si="0"/>
        <v>-515.87144461424987</v>
      </c>
    </row>
    <row r="10" spans="1:7" x14ac:dyDescent="0.3">
      <c r="A10" s="28" t="s">
        <v>51</v>
      </c>
      <c r="B10" s="23">
        <v>511.88</v>
      </c>
      <c r="C10" s="29">
        <f t="shared" si="0"/>
        <v>-3.9914446142498718</v>
      </c>
    </row>
    <row r="11" spans="1:7" x14ac:dyDescent="0.3">
      <c r="A11" s="28" t="s">
        <v>52</v>
      </c>
      <c r="B11" s="23">
        <v>580.61</v>
      </c>
      <c r="C11" s="29">
        <f t="shared" si="0"/>
        <v>576.61855538575014</v>
      </c>
    </row>
    <row r="12" spans="1:7" x14ac:dyDescent="0.3">
      <c r="A12" s="28" t="s">
        <v>53</v>
      </c>
      <c r="B12" s="23">
        <v>652.11</v>
      </c>
      <c r="C12" s="29">
        <f t="shared" si="0"/>
        <v>1228.72855538575</v>
      </c>
    </row>
    <row r="13" spans="1:7" x14ac:dyDescent="0.3">
      <c r="A13" s="28" t="s">
        <v>54</v>
      </c>
      <c r="B13" s="23">
        <v>726.4</v>
      </c>
      <c r="C13" s="29">
        <f t="shared" si="0"/>
        <v>1955.1285553857501</v>
      </c>
    </row>
    <row r="14" spans="1:7" x14ac:dyDescent="0.3">
      <c r="A14" s="28" t="s">
        <v>55</v>
      </c>
      <c r="B14" s="23">
        <v>850.16</v>
      </c>
      <c r="C14" s="29">
        <f t="shared" si="0"/>
        <v>2805.28855538575</v>
      </c>
    </row>
    <row r="15" spans="1:7" x14ac:dyDescent="0.3">
      <c r="A15" s="28" t="s">
        <v>56</v>
      </c>
      <c r="B15" s="23">
        <v>964.5</v>
      </c>
      <c r="C15" s="29">
        <f t="shared" si="0"/>
        <v>3769.78855538575</v>
      </c>
    </row>
    <row r="16" spans="1:7" x14ac:dyDescent="0.3">
      <c r="A16" s="28" t="s">
        <v>57</v>
      </c>
      <c r="B16" s="23">
        <v>1099.31</v>
      </c>
      <c r="C16" s="29">
        <f t="shared" si="0"/>
        <v>4869.0985553857499</v>
      </c>
    </row>
    <row r="17" spans="1:3" x14ac:dyDescent="0.3">
      <c r="A17" s="28" t="s">
        <v>58</v>
      </c>
      <c r="B17" s="23">
        <v>1247.05</v>
      </c>
      <c r="C17" s="29">
        <f t="shared" si="0"/>
        <v>6116.1485553857501</v>
      </c>
    </row>
    <row r="18" spans="1:3" x14ac:dyDescent="0.3">
      <c r="A18" s="28" t="s">
        <v>59</v>
      </c>
      <c r="B18" s="23">
        <v>1407.37</v>
      </c>
      <c r="C18" s="29">
        <f t="shared" si="0"/>
        <v>7523.51855538575</v>
      </c>
    </row>
    <row r="19" spans="1:3" x14ac:dyDescent="0.3">
      <c r="A19" s="28" t="s">
        <v>60</v>
      </c>
      <c r="B19" s="23">
        <v>1583.71</v>
      </c>
      <c r="C19" s="29">
        <f t="shared" si="0"/>
        <v>9107.228555385751</v>
      </c>
    </row>
    <row r="20" spans="1:3" x14ac:dyDescent="0.3">
      <c r="A20" s="28" t="s">
        <v>61</v>
      </c>
      <c r="B20" s="23">
        <v>1785.64</v>
      </c>
      <c r="C20" s="29">
        <f t="shared" si="0"/>
        <v>10892.86855538575</v>
      </c>
    </row>
    <row r="21" spans="1:3" x14ac:dyDescent="0.3">
      <c r="A21" s="28" t="s">
        <v>62</v>
      </c>
      <c r="B21" s="23">
        <v>2004.83</v>
      </c>
      <c r="C21" s="29">
        <f t="shared" si="0"/>
        <v>12897.69855538575</v>
      </c>
    </row>
    <row r="22" spans="1:3" x14ac:dyDescent="0.3">
      <c r="A22" s="28" t="s">
        <v>63</v>
      </c>
      <c r="B22" s="23">
        <v>2248.04</v>
      </c>
      <c r="C22" s="29">
        <f t="shared" si="0"/>
        <v>15145.738555385749</v>
      </c>
    </row>
    <row r="23" spans="1:3" x14ac:dyDescent="0.3">
      <c r="A23" s="28" t="s">
        <v>64</v>
      </c>
      <c r="B23" s="23">
        <v>2516.1799999999998</v>
      </c>
      <c r="C23" s="29">
        <f t="shared" si="0"/>
        <v>17661.91855538575</v>
      </c>
    </row>
    <row r="24" spans="1:3" x14ac:dyDescent="0.3">
      <c r="A24" s="28" t="s">
        <v>65</v>
      </c>
      <c r="B24" s="23">
        <v>2811.3</v>
      </c>
      <c r="C24" s="29">
        <f t="shared" si="0"/>
        <v>20473.218555385749</v>
      </c>
    </row>
    <row r="25" spans="1:3" x14ac:dyDescent="0.3">
      <c r="A25" s="28" t="s">
        <v>66</v>
      </c>
      <c r="B25" s="23">
        <v>3132.58</v>
      </c>
      <c r="C25" s="29">
        <f t="shared" si="0"/>
        <v>23605.798555385751</v>
      </c>
    </row>
    <row r="26" spans="1:3" x14ac:dyDescent="0.3">
      <c r="A26" s="28" t="s">
        <v>67</v>
      </c>
      <c r="B26" s="23">
        <v>3482.36</v>
      </c>
      <c r="C26" s="29">
        <f t="shared" si="0"/>
        <v>27088.158555385751</v>
      </c>
    </row>
    <row r="27" spans="1:3" x14ac:dyDescent="0.3">
      <c r="A27" s="28" t="s">
        <v>68</v>
      </c>
      <c r="B27" s="23">
        <v>3870.21</v>
      </c>
      <c r="C27" s="29">
        <f t="shared" si="0"/>
        <v>30958.36855538575</v>
      </c>
    </row>
    <row r="28" spans="1:3" x14ac:dyDescent="0.3">
      <c r="A28" s="28" t="s">
        <v>69</v>
      </c>
      <c r="B28" s="23">
        <v>4296.58</v>
      </c>
      <c r="C28" s="29">
        <f t="shared" si="0"/>
        <v>35254.948555385752</v>
      </c>
    </row>
    <row r="29" spans="1:3" x14ac:dyDescent="0.3">
      <c r="A29" s="28" t="s">
        <v>70</v>
      </c>
      <c r="B29" s="23">
        <v>4762.57</v>
      </c>
      <c r="C29" s="29">
        <f t="shared" si="0"/>
        <v>40017.518555385752</v>
      </c>
    </row>
    <row r="30" spans="1:3" x14ac:dyDescent="0.3">
      <c r="A30" s="28" t="s">
        <v>71</v>
      </c>
      <c r="B30" s="23">
        <v>5277.17</v>
      </c>
      <c r="C30" s="29">
        <f t="shared" si="0"/>
        <v>45294.68855538575</v>
      </c>
    </row>
    <row r="31" spans="1:3" x14ac:dyDescent="0.3">
      <c r="A31" s="28" t="s">
        <v>72</v>
      </c>
      <c r="B31" s="23">
        <v>5852.66</v>
      </c>
      <c r="C31" s="29">
        <f t="shared" si="0"/>
        <v>51147.348555385746</v>
      </c>
    </row>
    <row r="32" spans="1:3" x14ac:dyDescent="0.3">
      <c r="A32" s="28" t="s">
        <v>73</v>
      </c>
      <c r="B32" s="23">
        <v>6489.55</v>
      </c>
      <c r="C32" s="29">
        <f t="shared" si="0"/>
        <v>57636.898555385749</v>
      </c>
    </row>
    <row r="33" spans="1:3" x14ac:dyDescent="0.3">
      <c r="A33" s="28" t="s">
        <v>74</v>
      </c>
      <c r="B33" s="23">
        <v>7199.61</v>
      </c>
      <c r="C33" s="29">
        <f t="shared" si="0"/>
        <v>64836.50855538575</v>
      </c>
    </row>
    <row r="34" spans="1:3" x14ac:dyDescent="0.3">
      <c r="A34" s="28" t="s">
        <v>75</v>
      </c>
      <c r="B34" s="23">
        <v>7989.94</v>
      </c>
      <c r="C34" s="29">
        <f t="shared" si="0"/>
        <v>72826.448555385752</v>
      </c>
    </row>
    <row r="35" spans="1:3" x14ac:dyDescent="0.3">
      <c r="A35" s="28" t="s">
        <v>76</v>
      </c>
      <c r="B35" s="23">
        <v>8869.06</v>
      </c>
      <c r="C35" s="29">
        <f t="shared" si="0"/>
        <v>81695.50855538575</v>
      </c>
    </row>
    <row r="36" spans="1:3" x14ac:dyDescent="0.3">
      <c r="A36" s="28" t="s">
        <v>77</v>
      </c>
      <c r="B36" s="23">
        <v>9846.48</v>
      </c>
      <c r="C36" s="29">
        <f t="shared" si="0"/>
        <v>91541.988555385746</v>
      </c>
    </row>
    <row r="37" spans="1:3" x14ac:dyDescent="0.3">
      <c r="A37" s="28" t="s">
        <v>78</v>
      </c>
      <c r="B37" s="23">
        <v>10929.84</v>
      </c>
      <c r="C37" s="29">
        <f t="shared" si="0"/>
        <v>102471.82855538574</v>
      </c>
    </row>
    <row r="38" spans="1:3" x14ac:dyDescent="0.3">
      <c r="A38" s="28" t="s">
        <v>79</v>
      </c>
      <c r="B38" s="23">
        <v>12138.82</v>
      </c>
      <c r="C38" s="29">
        <f t="shared" si="0"/>
        <v>114610.64855538573</v>
      </c>
    </row>
    <row r="39" spans="1:3" x14ac:dyDescent="0.3">
      <c r="A39" s="28" t="s">
        <v>80</v>
      </c>
      <c r="B39" s="23">
        <v>13479.8</v>
      </c>
      <c r="C39" s="29">
        <f t="shared" si="0"/>
        <v>128090.44855538574</v>
      </c>
    </row>
    <row r="40" spans="1:3" x14ac:dyDescent="0.3">
      <c r="A40" s="28" t="s">
        <v>81</v>
      </c>
      <c r="B40" s="23">
        <v>14966.48</v>
      </c>
      <c r="C40" s="29">
        <f t="shared" si="0"/>
        <v>143056.92855538573</v>
      </c>
    </row>
    <row r="41" spans="1:3" x14ac:dyDescent="0.3">
      <c r="A41" s="28" t="s">
        <v>82</v>
      </c>
      <c r="B41" s="23">
        <v>16629.080000000002</v>
      </c>
      <c r="C41" s="29">
        <f t="shared" si="0"/>
        <v>159686.00855538575</v>
      </c>
    </row>
    <row r="42" spans="1:3" x14ac:dyDescent="0.3">
      <c r="A42" s="28" t="s">
        <v>83</v>
      </c>
      <c r="B42" s="23">
        <v>18468.73</v>
      </c>
      <c r="C42" s="29">
        <f t="shared" si="0"/>
        <v>178154.73855538576</v>
      </c>
    </row>
    <row r="43" spans="1:3" ht="15" thickBot="1" x14ac:dyDescent="0.35">
      <c r="A43" s="30" t="s">
        <v>84</v>
      </c>
      <c r="B43" s="31">
        <v>20456.939999999999</v>
      </c>
      <c r="C43" s="32">
        <f t="shared" si="0"/>
        <v>198611.67855538576</v>
      </c>
    </row>
    <row r="44" spans="1:3" ht="15" thickBot="1" x14ac:dyDescent="0.35">
      <c r="B44">
        <f>C43</f>
        <v>198611.67855538576</v>
      </c>
    </row>
    <row r="45" spans="1:3" x14ac:dyDescent="0.3">
      <c r="A45" s="4" t="s">
        <v>85</v>
      </c>
      <c r="B45" s="7">
        <f>IRR(B3:B43)</f>
        <v>0.22878933114125699</v>
      </c>
    </row>
    <row r="46" spans="1:3" x14ac:dyDescent="0.3">
      <c r="A46" s="5" t="s">
        <v>86</v>
      </c>
      <c r="B46" s="8" t="s">
        <v>87</v>
      </c>
    </row>
    <row r="47" spans="1:3" x14ac:dyDescent="0.3">
      <c r="A47" s="5" t="s">
        <v>88</v>
      </c>
      <c r="B47" s="8">
        <f>FV(B45,40,-B44,B49,0)/40</f>
        <v>81532306.733992979</v>
      </c>
    </row>
    <row r="48" spans="1:3" x14ac:dyDescent="0.3">
      <c r="A48" s="5" t="s">
        <v>89</v>
      </c>
      <c r="B48" s="9">
        <v>0.11</v>
      </c>
    </row>
    <row r="49" spans="1:2" x14ac:dyDescent="0.3">
      <c r="A49" s="5" t="s">
        <v>90</v>
      </c>
      <c r="B49" s="10">
        <f>NPV(B48,B3:B43)</f>
        <v>8277.5543231600423</v>
      </c>
    </row>
    <row r="50" spans="1:2" ht="15" thickBot="1" x14ac:dyDescent="0.35">
      <c r="A50" s="6" t="s">
        <v>91</v>
      </c>
      <c r="B50" s="11">
        <v>40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E37-59AA-4320-82DD-93E0AC8FCA86}">
  <dimension ref="A1:H50"/>
  <sheetViews>
    <sheetView workbookViewId="0">
      <selection activeCell="E15" sqref="E15"/>
    </sheetView>
  </sheetViews>
  <sheetFormatPr defaultRowHeight="14.4" x14ac:dyDescent="0.3"/>
  <cols>
    <col min="1" max="1" width="15.77734375" customWidth="1"/>
    <col min="2" max="2" width="13.88671875" customWidth="1"/>
    <col min="3" max="3" width="20" customWidth="1"/>
    <col min="4" max="4" width="36.88671875" customWidth="1"/>
  </cols>
  <sheetData>
    <row r="1" spans="1:8" ht="15" thickBot="1" x14ac:dyDescent="0.35">
      <c r="A1" s="13" t="s">
        <v>125</v>
      </c>
      <c r="B1" s="13"/>
      <c r="C1" s="13"/>
      <c r="D1" s="13"/>
      <c r="E1" s="2"/>
      <c r="F1" s="2"/>
      <c r="G1" s="2"/>
      <c r="H1" s="2"/>
    </row>
    <row r="2" spans="1:8" x14ac:dyDescent="0.3">
      <c r="A2" s="38"/>
      <c r="B2" s="79" t="s">
        <v>42</v>
      </c>
      <c r="C2" s="80" t="s">
        <v>43</v>
      </c>
    </row>
    <row r="3" spans="1:8" x14ac:dyDescent="0.3">
      <c r="A3" s="28" t="s">
        <v>44</v>
      </c>
      <c r="B3" s="23">
        <v>-2003.3114446142499</v>
      </c>
      <c r="C3" s="29">
        <v>-2003.3114446142499</v>
      </c>
    </row>
    <row r="4" spans="1:8" x14ac:dyDescent="0.3">
      <c r="A4" s="28" t="s">
        <v>45</v>
      </c>
      <c r="B4" s="23">
        <v>29.33</v>
      </c>
      <c r="C4" s="29">
        <f>SUM(B4,C3)</f>
        <v>-1973.98144461425</v>
      </c>
    </row>
    <row r="5" spans="1:8" x14ac:dyDescent="0.3">
      <c r="A5" s="28" t="s">
        <v>46</v>
      </c>
      <c r="B5" s="23">
        <v>95.56</v>
      </c>
      <c r="C5" s="29">
        <f t="shared" ref="C5:C43" si="0">SUM(B5,C4)</f>
        <v>-1878.42144461425</v>
      </c>
    </row>
    <row r="6" spans="1:8" x14ac:dyDescent="0.3">
      <c r="A6" s="28" t="s">
        <v>47</v>
      </c>
      <c r="B6" s="23">
        <v>154.37</v>
      </c>
      <c r="C6" s="29">
        <f t="shared" si="0"/>
        <v>-1724.0514446142502</v>
      </c>
    </row>
    <row r="7" spans="1:8" x14ac:dyDescent="0.3">
      <c r="A7" s="28" t="s">
        <v>48</v>
      </c>
      <c r="B7" s="23">
        <v>267.07</v>
      </c>
      <c r="C7" s="29">
        <f t="shared" si="0"/>
        <v>-1456.9814446142502</v>
      </c>
    </row>
    <row r="8" spans="1:8" x14ac:dyDescent="0.3">
      <c r="A8" s="28" t="s">
        <v>49</v>
      </c>
      <c r="B8" s="23">
        <v>323.73</v>
      </c>
      <c r="C8" s="29">
        <f t="shared" si="0"/>
        <v>-1133.2514446142502</v>
      </c>
    </row>
    <row r="9" spans="1:8" x14ac:dyDescent="0.3">
      <c r="A9" s="28" t="s">
        <v>50</v>
      </c>
      <c r="B9" s="23">
        <v>376.36</v>
      </c>
      <c r="C9" s="29">
        <f t="shared" si="0"/>
        <v>-756.89144461425019</v>
      </c>
    </row>
    <row r="10" spans="1:8" x14ac:dyDescent="0.3">
      <c r="A10" s="28" t="s">
        <v>51</v>
      </c>
      <c r="B10" s="23">
        <v>431.42</v>
      </c>
      <c r="C10" s="29">
        <f t="shared" si="0"/>
        <v>-325.47144461425017</v>
      </c>
    </row>
    <row r="11" spans="1:8" x14ac:dyDescent="0.3">
      <c r="A11" s="28" t="s">
        <v>52</v>
      </c>
      <c r="B11" s="23">
        <v>489.15</v>
      </c>
      <c r="C11" s="29">
        <f t="shared" si="0"/>
        <v>163.6785553857498</v>
      </c>
    </row>
    <row r="12" spans="1:8" x14ac:dyDescent="0.3">
      <c r="A12" s="28" t="s">
        <v>53</v>
      </c>
      <c r="B12" s="23">
        <v>549.65</v>
      </c>
      <c r="C12" s="29">
        <f t="shared" si="0"/>
        <v>713.32855538574972</v>
      </c>
    </row>
    <row r="13" spans="1:8" x14ac:dyDescent="0.3">
      <c r="A13" s="28" t="s">
        <v>54</v>
      </c>
      <c r="B13" s="23">
        <v>612.94000000000005</v>
      </c>
      <c r="C13" s="29">
        <f t="shared" si="0"/>
        <v>1326.2685553857498</v>
      </c>
    </row>
    <row r="14" spans="1:8" x14ac:dyDescent="0.3">
      <c r="A14" s="28" t="s">
        <v>55</v>
      </c>
      <c r="B14" s="23">
        <v>714.73</v>
      </c>
      <c r="C14" s="29">
        <f t="shared" si="0"/>
        <v>2040.9985553857498</v>
      </c>
    </row>
    <row r="15" spans="1:8" x14ac:dyDescent="0.3">
      <c r="A15" s="28" t="s">
        <v>56</v>
      </c>
      <c r="B15" s="23">
        <v>801.3</v>
      </c>
      <c r="C15" s="29">
        <f t="shared" si="0"/>
        <v>2842.2985553857498</v>
      </c>
    </row>
    <row r="16" spans="1:8" x14ac:dyDescent="0.3">
      <c r="A16" s="28" t="s">
        <v>57</v>
      </c>
      <c r="B16" s="23">
        <v>895.04</v>
      </c>
      <c r="C16" s="29">
        <f t="shared" si="0"/>
        <v>3737.3385553857497</v>
      </c>
    </row>
    <row r="17" spans="1:3" x14ac:dyDescent="0.3">
      <c r="A17" s="28" t="s">
        <v>58</v>
      </c>
      <c r="B17" s="23">
        <v>996.83</v>
      </c>
      <c r="C17" s="29">
        <f t="shared" si="0"/>
        <v>4734.1685553857496</v>
      </c>
    </row>
    <row r="18" spans="1:3" x14ac:dyDescent="0.3">
      <c r="A18" s="28" t="s">
        <v>59</v>
      </c>
      <c r="B18" s="23">
        <v>1106.51</v>
      </c>
      <c r="C18" s="29">
        <f t="shared" si="0"/>
        <v>5840.6785553857499</v>
      </c>
    </row>
    <row r="19" spans="1:3" x14ac:dyDescent="0.3">
      <c r="A19" s="28" t="s">
        <v>60</v>
      </c>
      <c r="B19" s="23">
        <v>1224.28</v>
      </c>
      <c r="C19" s="29">
        <f t="shared" si="0"/>
        <v>7064.9585553857496</v>
      </c>
    </row>
    <row r="20" spans="1:3" x14ac:dyDescent="0.3">
      <c r="A20" s="28" t="s">
        <v>61</v>
      </c>
      <c r="B20" s="23">
        <v>1350.28</v>
      </c>
      <c r="C20" s="29">
        <f t="shared" si="0"/>
        <v>8415.2385553857494</v>
      </c>
    </row>
    <row r="21" spans="1:3" x14ac:dyDescent="0.3">
      <c r="A21" s="28" t="s">
        <v>62</v>
      </c>
      <c r="B21" s="23">
        <v>1484.88</v>
      </c>
      <c r="C21" s="29">
        <f t="shared" si="0"/>
        <v>9900.1185553857504</v>
      </c>
    </row>
    <row r="22" spans="1:3" x14ac:dyDescent="0.3">
      <c r="A22" s="28" t="s">
        <v>63</v>
      </c>
      <c r="B22" s="23">
        <v>1638.36</v>
      </c>
      <c r="C22" s="29">
        <f t="shared" si="0"/>
        <v>11538.478555385751</v>
      </c>
    </row>
    <row r="23" spans="1:3" x14ac:dyDescent="0.3">
      <c r="A23" s="28" t="s">
        <v>64</v>
      </c>
      <c r="B23" s="23">
        <v>1810.81</v>
      </c>
      <c r="C23" s="29">
        <f t="shared" si="0"/>
        <v>13349.28855538575</v>
      </c>
    </row>
    <row r="24" spans="1:3" x14ac:dyDescent="0.3">
      <c r="A24" s="28" t="s">
        <v>65</v>
      </c>
      <c r="B24" s="23">
        <v>2002.45</v>
      </c>
      <c r="C24" s="29">
        <f t="shared" si="0"/>
        <v>15351.738555385751</v>
      </c>
    </row>
    <row r="25" spans="1:3" x14ac:dyDescent="0.3">
      <c r="A25" s="28" t="s">
        <v>66</v>
      </c>
      <c r="B25" s="23">
        <v>2223.37</v>
      </c>
      <c r="C25" s="29">
        <f t="shared" si="0"/>
        <v>17575.108555385752</v>
      </c>
    </row>
    <row r="26" spans="1:3" x14ac:dyDescent="0.3">
      <c r="A26" s="28" t="s">
        <v>67</v>
      </c>
      <c r="B26" s="23">
        <v>2464.7600000000002</v>
      </c>
      <c r="C26" s="29">
        <f t="shared" si="0"/>
        <v>20039.86855538575</v>
      </c>
    </row>
    <row r="27" spans="1:3" x14ac:dyDescent="0.3">
      <c r="A27" s="28" t="s">
        <v>68</v>
      </c>
      <c r="B27" s="23">
        <v>2736.8</v>
      </c>
      <c r="C27" s="29">
        <f t="shared" si="0"/>
        <v>22776.66855538575</v>
      </c>
    </row>
    <row r="28" spans="1:3" x14ac:dyDescent="0.3">
      <c r="A28" s="28" t="s">
        <v>69</v>
      </c>
      <c r="B28" s="23">
        <v>3030.41</v>
      </c>
      <c r="C28" s="29">
        <f t="shared" si="0"/>
        <v>25807.078555385749</v>
      </c>
    </row>
    <row r="29" spans="1:3" x14ac:dyDescent="0.3">
      <c r="A29" s="28" t="s">
        <v>70</v>
      </c>
      <c r="B29" s="23">
        <v>3356.64</v>
      </c>
      <c r="C29" s="29">
        <f t="shared" si="0"/>
        <v>29163.718555385749</v>
      </c>
    </row>
    <row r="30" spans="1:3" x14ac:dyDescent="0.3">
      <c r="A30" s="28" t="s">
        <v>71</v>
      </c>
      <c r="B30" s="23">
        <v>3715.67</v>
      </c>
      <c r="C30" s="29">
        <f t="shared" si="0"/>
        <v>32879.388555385747</v>
      </c>
    </row>
    <row r="31" spans="1:3" x14ac:dyDescent="0.3">
      <c r="A31" s="28" t="s">
        <v>72</v>
      </c>
      <c r="B31" s="23">
        <v>4121.6899999999996</v>
      </c>
      <c r="C31" s="29">
        <f t="shared" si="0"/>
        <v>37001.078555385749</v>
      </c>
    </row>
    <row r="32" spans="1:3" x14ac:dyDescent="0.3">
      <c r="A32" s="28" t="s">
        <v>73</v>
      </c>
      <c r="B32" s="23">
        <v>4570.0200000000004</v>
      </c>
      <c r="C32" s="29">
        <f t="shared" si="0"/>
        <v>41571.098555385746</v>
      </c>
    </row>
    <row r="33" spans="1:3" x14ac:dyDescent="0.3">
      <c r="A33" s="28" t="s">
        <v>74</v>
      </c>
      <c r="B33" s="23">
        <v>5071.7</v>
      </c>
      <c r="C33" s="29">
        <f t="shared" si="0"/>
        <v>46642.798555385743</v>
      </c>
    </row>
    <row r="34" spans="1:3" x14ac:dyDescent="0.3">
      <c r="A34" s="28" t="s">
        <v>75</v>
      </c>
      <c r="B34" s="23">
        <v>5627.92</v>
      </c>
      <c r="C34" s="29">
        <f t="shared" si="0"/>
        <v>52270.718555385742</v>
      </c>
    </row>
    <row r="35" spans="1:3" x14ac:dyDescent="0.3">
      <c r="A35" s="28" t="s">
        <v>76</v>
      </c>
      <c r="B35" s="23">
        <v>6248.62</v>
      </c>
      <c r="C35" s="29">
        <f t="shared" si="0"/>
        <v>58519.338555385744</v>
      </c>
    </row>
    <row r="36" spans="1:3" x14ac:dyDescent="0.3">
      <c r="A36" s="28" t="s">
        <v>77</v>
      </c>
      <c r="B36" s="23">
        <v>6936.61</v>
      </c>
      <c r="C36" s="29">
        <f t="shared" si="0"/>
        <v>65455.948555385745</v>
      </c>
    </row>
    <row r="37" spans="1:3" x14ac:dyDescent="0.3">
      <c r="A37" s="28" t="s">
        <v>78</v>
      </c>
      <c r="B37" s="23">
        <v>7702.58</v>
      </c>
      <c r="C37" s="29">
        <f t="shared" si="0"/>
        <v>73158.528555385739</v>
      </c>
    </row>
    <row r="38" spans="1:3" x14ac:dyDescent="0.3">
      <c r="A38" s="28" t="s">
        <v>79</v>
      </c>
      <c r="B38" s="23">
        <v>8556.1299999999992</v>
      </c>
      <c r="C38" s="29">
        <f t="shared" si="0"/>
        <v>81714.658555385744</v>
      </c>
    </row>
    <row r="39" spans="1:3" x14ac:dyDescent="0.3">
      <c r="A39" s="28" t="s">
        <v>80</v>
      </c>
      <c r="B39" s="23">
        <v>9500.14</v>
      </c>
      <c r="C39" s="29">
        <f t="shared" si="0"/>
        <v>91214.798555385743</v>
      </c>
    </row>
    <row r="40" spans="1:3" x14ac:dyDescent="0.3">
      <c r="A40" s="28" t="s">
        <v>81</v>
      </c>
      <c r="B40" s="23">
        <v>10547.57</v>
      </c>
      <c r="C40" s="29">
        <f t="shared" si="0"/>
        <v>101762.36855538574</v>
      </c>
    </row>
    <row r="41" spans="1:3" x14ac:dyDescent="0.3">
      <c r="A41" s="28" t="s">
        <v>82</v>
      </c>
      <c r="B41" s="23">
        <v>11720.06</v>
      </c>
      <c r="C41" s="29">
        <f t="shared" si="0"/>
        <v>113482.42855538573</v>
      </c>
    </row>
    <row r="42" spans="1:3" x14ac:dyDescent="0.3">
      <c r="A42" s="28" t="s">
        <v>83</v>
      </c>
      <c r="B42" s="23">
        <v>13016.07</v>
      </c>
      <c r="C42" s="29">
        <f t="shared" si="0"/>
        <v>126498.49855538574</v>
      </c>
    </row>
    <row r="43" spans="1:3" ht="15" thickBot="1" x14ac:dyDescent="0.35">
      <c r="A43" s="30" t="s">
        <v>84</v>
      </c>
      <c r="B43" s="31">
        <v>14422.83</v>
      </c>
      <c r="C43" s="32">
        <f t="shared" si="0"/>
        <v>140921.32855538573</v>
      </c>
    </row>
    <row r="44" spans="1:3" ht="15" thickBot="1" x14ac:dyDescent="0.35">
      <c r="B44">
        <f>C43</f>
        <v>140921.32855538573</v>
      </c>
    </row>
    <row r="45" spans="1:3" x14ac:dyDescent="0.3">
      <c r="A45" s="4" t="s">
        <v>85</v>
      </c>
      <c r="B45" s="7">
        <f>IRR(B3:B43)</f>
        <v>0.2068698426934934</v>
      </c>
    </row>
    <row r="46" spans="1:3" x14ac:dyDescent="0.3">
      <c r="A46" s="5" t="s">
        <v>86</v>
      </c>
      <c r="B46" s="8" t="s">
        <v>87</v>
      </c>
    </row>
    <row r="47" spans="1:3" x14ac:dyDescent="0.3">
      <c r="A47" s="5" t="s">
        <v>88</v>
      </c>
      <c r="B47" s="8">
        <f>FV(B45,40,-B44,B49,0)/40</f>
        <v>31169421.405738056</v>
      </c>
    </row>
    <row r="48" spans="1:3" x14ac:dyDescent="0.3">
      <c r="A48" s="5" t="s">
        <v>89</v>
      </c>
      <c r="B48" s="9">
        <v>0.11</v>
      </c>
    </row>
    <row r="49" spans="1:2" x14ac:dyDescent="0.3">
      <c r="A49" s="5" t="s">
        <v>90</v>
      </c>
      <c r="B49" s="10">
        <f>NPV(B48,B3:B43)</f>
        <v>5733.838442407352</v>
      </c>
    </row>
    <row r="50" spans="1:2" ht="15" thickBot="1" x14ac:dyDescent="0.35">
      <c r="A50" s="6" t="s">
        <v>91</v>
      </c>
      <c r="B50" s="11">
        <v>40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 Data</vt:lpstr>
      <vt:lpstr>Growth_Rate_Calculations</vt:lpstr>
      <vt:lpstr>CFAT Calculations Austin,TX</vt:lpstr>
      <vt:lpstr>CFAT Calculations Hyderabad,IND</vt:lpstr>
      <vt:lpstr>IRR, Payback,AW Austin,TX</vt:lpstr>
      <vt:lpstr>IRR, Payback,AW Hyderbad,IND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 S</dc:creator>
  <cp:lastModifiedBy>Sivaram Senthilkumar</cp:lastModifiedBy>
  <dcterms:created xsi:type="dcterms:W3CDTF">2025-05-10T00:29:42Z</dcterms:created>
  <dcterms:modified xsi:type="dcterms:W3CDTF">2025-05-11T07:19:44Z</dcterms:modified>
</cp:coreProperties>
</file>